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ummary" sheetId="1" state="visible" r:id="rId3"/>
    <sheet name="1. Security System" sheetId="2" state="visible" r:id="rId4"/>
    <sheet name="2. Water Quality System" sheetId="3" state="visible" r:id="rId5"/>
    <sheet name="3. Feeding Syst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<sst xmlns="http://schemas.openxmlformats.org/spreadsheetml/2006/main" count="141" uniqueCount="104">
  <si>
    <t xml:space="preserve">FINAL YEAR PROJECT - EQUIPMENT COST ESTIMATE</t>
  </si>
  <si>
    <t xml:space="preserve">Fish Pond Management and Security Systems</t>
  </si>
  <si>
    <t xml:space="preserve">PROJECT COST SUMMARY</t>
  </si>
  <si>
    <t xml:space="preserve">Project Component</t>
  </si>
  <si>
    <t xml:space="preserve">Total (₦)</t>
  </si>
  <si>
    <t xml:space="preserve">Notes</t>
  </si>
  <si>
    <t xml:space="preserve">Security &amp; Intruder Monitoring</t>
  </si>
  <si>
    <t xml:space="preserve">Complete AI surveillance system</t>
  </si>
  <si>
    <t xml:space="preserve">Water Quality (Full)</t>
  </si>
  <si>
    <t xml:space="preserve">With Dissolved Oxygen + Solar</t>
  </si>
  <si>
    <t xml:space="preserve">Automated Feeding System</t>
  </si>
  <si>
    <t xml:space="preserve">Remote feeding solution</t>
  </si>
  <si>
    <t xml:space="preserve"> TOTAL </t>
  </si>
  <si>
    <t xml:space="preserve">PROJECT 1: FISH POND INTRUDER MONITORING &amp; SECURITY SYSTEM</t>
  </si>
  <si>
    <t xml:space="preserve">AI-powered surveillance system with computer vision for 24/7 automated monitoring</t>
  </si>
  <si>
    <t xml:space="preserve">Item Description</t>
  </si>
  <si>
    <t xml:space="preserve">Qty</t>
  </si>
  <si>
    <t xml:space="preserve">Unit Cost (₦)</t>
  </si>
  <si>
    <t xml:space="preserve">Category</t>
  </si>
  <si>
    <t xml:space="preserve">Power Supply Components</t>
  </si>
  <si>
    <t xml:space="preserve">40W Solar Panel</t>
  </si>
  <si>
    <t xml:space="preserve">Power</t>
  </si>
  <si>
    <t xml:space="preserve">MPPT Charge Controller</t>
  </si>
  <si>
    <t xml:space="preserve">12V 20Ah Deep Cycle Battery</t>
  </si>
  <si>
    <t xml:space="preserve">12V→5V Buck Converter</t>
  </si>
  <si>
    <t xml:space="preserve">Computing &amp; Processing</t>
  </si>
  <si>
    <t xml:space="preserve">Raspberry Pi 5 (8GB)</t>
  </si>
  <si>
    <t xml:space="preserve">Compute</t>
  </si>
  <si>
    <t xml:space="preserve">64GB High-Endurance MicroSD</t>
  </si>
  <si>
    <t xml:space="preserve">Storage</t>
  </si>
  <si>
    <t xml:space="preserve">Official Cooling Case</t>
  </si>
  <si>
    <t xml:space="preserve">Thermal</t>
  </si>
  <si>
    <t xml:space="preserve">Sensing &amp; Vision</t>
  </si>
  <si>
    <t xml:space="preserve">CSI IR Camera Module</t>
  </si>
  <si>
    <t xml:space="preserve">Sensing</t>
  </si>
  <si>
    <t xml:space="preserve">IR LED Illumination Module</t>
  </si>
  <si>
    <t xml:space="preserve">PIR Motion Sensor</t>
  </si>
  <si>
    <t xml:space="preserve">Communication</t>
  </si>
  <si>
    <t xml:space="preserve">LTE USB Modem</t>
  </si>
  <si>
    <t xml:space="preserve">Comm</t>
  </si>
  <si>
    <t xml:space="preserve">SIM Card</t>
  </si>
  <si>
    <t xml:space="preserve">First Month Data Plan</t>
  </si>
  <si>
    <t xml:space="preserve">Structural &amp; Protection</t>
  </si>
  <si>
    <t xml:space="preserve">Weatherproof Enclosure</t>
  </si>
  <si>
    <t xml:space="preserve">Structure</t>
  </si>
  <si>
    <t xml:space="preserve">Mounting Brackets &amp; Wiring</t>
  </si>
  <si>
    <t xml:space="preserve">Surge Protector / DC Fuse</t>
  </si>
  <si>
    <t xml:space="preserve">Protection</t>
  </si>
  <si>
    <t xml:space="preserve">Pole / Mount Stand</t>
  </si>
  <si>
    <t xml:space="preserve">Optional Components</t>
  </si>
  <si>
    <t xml:space="preserve">External SSD (Optional Logging)</t>
  </si>
  <si>
    <t xml:space="preserve">Optional</t>
  </si>
  <si>
    <t xml:space="preserve">Power Monitoring Module</t>
  </si>
  <si>
    <t xml:space="preserve">PROJECT 1 TOTAL</t>
  </si>
  <si>
    <t xml:space="preserve">PROJECT 2: REMOTE FISH POND WATER QUALITY MONITORING SYSTEM</t>
  </si>
  <si>
    <t xml:space="preserve">IoT-based continuous monitoring of pH, temperature, turbidity, DO, and water level</t>
  </si>
  <si>
    <t xml:space="preserve">Core Hardware</t>
  </si>
  <si>
    <t xml:space="preserve">ESP32 Microcontroller &amp; Expansion Board</t>
  </si>
  <si>
    <t xml:space="preserve">Hardware</t>
  </si>
  <si>
    <t xml:space="preserve">pH Sensor Module (Liquid pH Sensor)</t>
  </si>
  <si>
    <t xml:space="preserve">DS18B20 Waterproof Temperature Sensor</t>
  </si>
  <si>
    <t xml:space="preserve">Turbidity Sensor + Accessories</t>
  </si>
  <si>
    <t xml:space="preserve">Water Level Sensor &amp; Accessories</t>
  </si>
  <si>
    <t xml:space="preserve">Communication &amp; Display</t>
  </si>
  <si>
    <t xml:space="preserve">SIM800L GSM Module</t>
  </si>
  <si>
    <t xml:space="preserve">16x2 LCD Display with I2C Adapter</t>
  </si>
  <si>
    <t xml:space="preserve">Display</t>
  </si>
  <si>
    <t xml:space="preserve">Buzzer and LED Indicators</t>
  </si>
  <si>
    <t xml:space="preserve">Alert</t>
  </si>
  <si>
    <t xml:space="preserve">Integration &amp; Packaging</t>
  </si>
  <si>
    <t xml:space="preserve">Packaging, Wiring &amp; Miscellaneous</t>
  </si>
  <si>
    <t xml:space="preserve">Materials</t>
  </si>
  <si>
    <t xml:space="preserve">Embedded Systems Development Cost</t>
  </si>
  <si>
    <t xml:space="preserve">Development</t>
  </si>
  <si>
    <t xml:space="preserve">Optional High-Value Component</t>
  </si>
  <si>
    <t xml:space="preserve">Dissolved Oxygen (DO) Sensor + Shipping</t>
  </si>
  <si>
    <t xml:space="preserve">Optional Power System</t>
  </si>
  <si>
    <t xml:space="preserve">Solar Panel &amp; Battery Pack (20W + 12V)</t>
  </si>
  <si>
    <t xml:space="preserve">BASE TOTAL (Without DO Sensor)</t>
  </si>
  <si>
    <t xml:space="preserve">WITH DO SENSOR</t>
  </si>
  <si>
    <t xml:space="preserve">FULL SYSTEM (With DO + Solar)</t>
  </si>
  <si>
    <t xml:space="preserve">PROJECT 3: REMOTE AUTOMATED FISH FEEDING SYSTEM</t>
  </si>
  <si>
    <t xml:space="preserve">Automated feeding with 3D-printed components and WiFi remote control</t>
  </si>
  <si>
    <t xml:space="preserve">Microcontroller &amp; Accessories</t>
  </si>
  <si>
    <t xml:space="preserve">Arduino Nano (ATmega328P)</t>
  </si>
  <si>
    <t xml:space="preserve">DS3231 RTC Module</t>
  </si>
  <si>
    <t xml:space="preserve">ESP8266 WiFi Module</t>
  </si>
  <si>
    <t xml:space="preserve">Ultrasonic Sensor (HC-SR04)</t>
  </si>
  <si>
    <t xml:space="preserve">Jumper Wires, Headers &amp; Converters</t>
  </si>
  <si>
    <t xml:space="preserve">Dispensing Mechanism</t>
  </si>
  <si>
    <t xml:space="preserve">Servo/DC Motor (12V)</t>
  </si>
  <si>
    <t xml:space="preserve">Mechanical</t>
  </si>
  <si>
    <t xml:space="preserve">Relay Module</t>
  </si>
  <si>
    <t xml:space="preserve">Control</t>
  </si>
  <si>
    <t xml:space="preserve">12V Power Supply + Backup Battery</t>
  </si>
  <si>
    <t xml:space="preserve">Manufacturing &amp; Integration</t>
  </si>
  <si>
    <t xml:space="preserve">Custom Circuit Fabrication</t>
  </si>
  <si>
    <t xml:space="preserve">Production</t>
  </si>
  <si>
    <t xml:space="preserve">3D Printing &amp; Dispenser Mechanism</t>
  </si>
  <si>
    <t xml:space="preserve">Embedded System Fabrication Cost</t>
  </si>
  <si>
    <t xml:space="preserve">Web Dashboard Integration</t>
  </si>
  <si>
    <t xml:space="preserve">Software</t>
  </si>
  <si>
    <t xml:space="preserve">Packaging &amp; Accessories</t>
  </si>
  <si>
    <t xml:space="preserve">PROJECT 3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</si>
</sst>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₦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4F72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2"/>
      <color rgb="FF2874A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B4F7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AF8"/>
        <bgColor rgb="FFCCFFFF"/>
      </patternFill>
    </fill>
    <fill>
      <patternFill patternType="solid">
        <fgColor rgb="FF1B4F72"/>
        <bgColor rgb="FF333399"/>
      </patternFill>
    </fill>
    <fill>
      <patternFill patternType="solid">
        <fgColor rgb="FFAED6F1"/>
        <bgColor rgb="FFCCCC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4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16384" min="16382" style="1" width="10.16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 t="n">
        <v>910000</v>
      </c>
      <c r="C6" s="6" t="s">
        <v>7</v>
      </c>
    </row>
    <row r="7" customFormat="false" ht="15" hidden="false" customHeight="false" outlineLevel="0" collapsed="false">
      <c r="A7" s="6" t="s">
        <v>8</v>
      </c>
      <c r="B7" s="8" t="n">
        <v>785000</v>
      </c>
      <c r="C7" s="6" t="s">
        <v>9</v>
      </c>
    </row>
    <row r="8" customFormat="false" ht="15" hidden="false" customHeight="false" outlineLevel="0" collapsed="false">
      <c r="A8" s="6" t="s">
        <v>10</v>
      </c>
      <c r="B8" s="7" t="n">
        <v>271000</v>
      </c>
      <c r="C8" s="6" t="s">
        <v>11</v>
      </c>
    </row>
    <row r="10" customFormat="false" ht="15" hidden="false" customHeight="false" outlineLevel="0" collapsed="false">
      <c r="A10" s="9" t="s">
        <v>12</v>
      </c>
      <c r="B10" s="10" t="n">
        <f aca="false">910000+785000+271000</f>
        <v>1966000</v>
      </c>
      <c r="C10" s="11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C1"/>
    <mergeCell ref="A2:C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5"/>
  </cols>
  <sheetData>
    <row r="1" customFormat="false" ht="24.75" hidden="false" customHeight="true" outlineLevel="0" collapsed="false">
      <c r="A1" s="12" t="s">
        <v>13</v>
      </c>
      <c r="B1" s="12"/>
      <c r="C1" s="12"/>
      <c r="D1" s="12"/>
      <c r="E1" s="12"/>
    </row>
    <row r="3" customFormat="false" ht="15" hidden="false" customHeight="true" outlineLevel="0" collapsed="false">
      <c r="A3" s="13" t="s">
        <v>14</v>
      </c>
      <c r="B3" s="13"/>
      <c r="C3" s="13"/>
      <c r="D3" s="13"/>
      <c r="E3" s="13"/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  <c r="D5" s="5" t="s">
        <v>4</v>
      </c>
      <c r="E5" s="5" t="s">
        <v>18</v>
      </c>
    </row>
    <row r="6" customFormat="false" ht="15" hidden="false" customHeight="true" outlineLevel="0" collapsed="false">
      <c r="A6" s="14" t="s">
        <v>19</v>
      </c>
      <c r="B6" s="14"/>
      <c r="C6" s="14"/>
      <c r="D6" s="14"/>
      <c r="E6" s="14"/>
    </row>
    <row r="7" customFormat="false" ht="15" hidden="false" customHeight="false" outlineLevel="0" collapsed="false">
      <c r="A7" s="6" t="s">
        <v>20</v>
      </c>
      <c r="B7" s="7" t="n">
        <v>1</v>
      </c>
      <c r="C7" s="15" t="n">
        <v>50000</v>
      </c>
      <c r="D7" s="15" t="n">
        <f aca="false">B7*C7</f>
        <v>50000</v>
      </c>
      <c r="E7" s="7" t="s">
        <v>21</v>
      </c>
    </row>
    <row r="8" customFormat="false" ht="15" hidden="false" customHeight="false" outlineLevel="0" collapsed="false">
      <c r="A8" s="6" t="s">
        <v>22</v>
      </c>
      <c r="B8" s="7" t="n">
        <v>1</v>
      </c>
      <c r="C8" s="15" t="n">
        <v>55000</v>
      </c>
      <c r="D8" s="15" t="n">
        <f aca="false">B8*C8</f>
        <v>55000</v>
      </c>
      <c r="E8" s="7" t="s">
        <v>21</v>
      </c>
    </row>
    <row r="9" customFormat="false" ht="15" hidden="false" customHeight="false" outlineLevel="0" collapsed="false">
      <c r="A9" s="6" t="s">
        <v>23</v>
      </c>
      <c r="B9" s="7" t="n">
        <v>1</v>
      </c>
      <c r="C9" s="15" t="n">
        <v>140000</v>
      </c>
      <c r="D9" s="15" t="n">
        <f aca="false">B9*C9</f>
        <v>140000</v>
      </c>
      <c r="E9" s="7" t="s">
        <v>21</v>
      </c>
    </row>
    <row r="10" customFormat="false" ht="15" hidden="false" customHeight="false" outlineLevel="0" collapsed="false">
      <c r="A10" s="6" t="s">
        <v>24</v>
      </c>
      <c r="B10" s="7" t="n">
        <v>1</v>
      </c>
      <c r="C10" s="15" t="n">
        <v>20000</v>
      </c>
      <c r="D10" s="15" t="n">
        <f aca="false">B10*C10</f>
        <v>20000</v>
      </c>
      <c r="E10" s="7" t="s">
        <v>21</v>
      </c>
    </row>
    <row r="11" customFormat="false" ht="15" hidden="false" customHeight="false" outlineLevel="0" collapsed="false">
      <c r="A11" s="6"/>
      <c r="B11" s="7"/>
      <c r="C11" s="16"/>
      <c r="D11" s="16"/>
      <c r="E11" s="7"/>
    </row>
    <row r="12" customFormat="false" ht="15" hidden="false" customHeight="true" outlineLevel="0" collapsed="false">
      <c r="A12" s="14" t="s">
        <v>25</v>
      </c>
      <c r="B12" s="14"/>
      <c r="C12" s="14"/>
      <c r="D12" s="14"/>
      <c r="E12" s="14"/>
    </row>
    <row r="13" customFormat="false" ht="15" hidden="false" customHeight="false" outlineLevel="0" collapsed="false">
      <c r="A13" s="6" t="s">
        <v>26</v>
      </c>
      <c r="B13" s="7" t="n">
        <v>1</v>
      </c>
      <c r="C13" s="15" t="n">
        <v>160000</v>
      </c>
      <c r="D13" s="15" t="n">
        <f aca="false">B13*C13</f>
        <v>160000</v>
      </c>
      <c r="E13" s="7" t="s">
        <v>27</v>
      </c>
    </row>
    <row r="14" customFormat="false" ht="15" hidden="false" customHeight="false" outlineLevel="0" collapsed="false">
      <c r="A14" s="6" t="s">
        <v>28</v>
      </c>
      <c r="B14" s="7" t="n">
        <v>1</v>
      </c>
      <c r="C14" s="15" t="n">
        <v>25000</v>
      </c>
      <c r="D14" s="15" t="n">
        <f aca="false">B14*C14</f>
        <v>25000</v>
      </c>
      <c r="E14" s="7" t="s">
        <v>29</v>
      </c>
    </row>
    <row r="15" customFormat="false" ht="15" hidden="false" customHeight="false" outlineLevel="0" collapsed="false">
      <c r="A15" s="6" t="s">
        <v>30</v>
      </c>
      <c r="B15" s="7" t="n">
        <v>1</v>
      </c>
      <c r="C15" s="15" t="n">
        <v>25000</v>
      </c>
      <c r="D15" s="15" t="n">
        <f aca="false">B15*C15</f>
        <v>25000</v>
      </c>
      <c r="E15" s="7" t="s">
        <v>31</v>
      </c>
    </row>
    <row r="16" customFormat="false" ht="15" hidden="false" customHeight="false" outlineLevel="0" collapsed="false">
      <c r="A16" s="6"/>
      <c r="B16" s="7"/>
      <c r="C16" s="16"/>
      <c r="D16" s="16"/>
      <c r="E16" s="7"/>
    </row>
    <row r="17" customFormat="false" ht="15" hidden="false" customHeight="true" outlineLevel="0" collapsed="false">
      <c r="A17" s="14" t="s">
        <v>32</v>
      </c>
      <c r="B17" s="14"/>
      <c r="C17" s="14"/>
      <c r="D17" s="14"/>
      <c r="E17" s="14"/>
    </row>
    <row r="18" customFormat="false" ht="15" hidden="false" customHeight="false" outlineLevel="0" collapsed="false">
      <c r="A18" s="6" t="s">
        <v>33</v>
      </c>
      <c r="B18" s="7" t="n">
        <v>1</v>
      </c>
      <c r="C18" s="15" t="n">
        <v>40000</v>
      </c>
      <c r="D18" s="15" t="n">
        <f aca="false">B18*C18</f>
        <v>40000</v>
      </c>
      <c r="E18" s="7" t="s">
        <v>34</v>
      </c>
    </row>
    <row r="19" customFormat="false" ht="15" hidden="false" customHeight="false" outlineLevel="0" collapsed="false">
      <c r="A19" s="6" t="s">
        <v>35</v>
      </c>
      <c r="B19" s="7" t="n">
        <v>1</v>
      </c>
      <c r="C19" s="15" t="n">
        <v>25000</v>
      </c>
      <c r="D19" s="15" t="n">
        <f aca="false">B19*C19</f>
        <v>25000</v>
      </c>
      <c r="E19" s="7" t="s">
        <v>34</v>
      </c>
    </row>
    <row r="20" customFormat="false" ht="15" hidden="false" customHeight="false" outlineLevel="0" collapsed="false">
      <c r="A20" s="6" t="s">
        <v>36</v>
      </c>
      <c r="B20" s="7" t="n">
        <v>1</v>
      </c>
      <c r="C20" s="15" t="n">
        <v>8000</v>
      </c>
      <c r="D20" s="15" t="n">
        <f aca="false">B20*C20</f>
        <v>8000</v>
      </c>
      <c r="E20" s="7" t="s">
        <v>34</v>
      </c>
    </row>
    <row r="21" customFormat="false" ht="15" hidden="false" customHeight="false" outlineLevel="0" collapsed="false">
      <c r="A21" s="6"/>
      <c r="B21" s="7"/>
      <c r="C21" s="16"/>
      <c r="D21" s="16"/>
      <c r="E21" s="7"/>
    </row>
    <row r="22" customFormat="false" ht="15" hidden="false" customHeight="true" outlineLevel="0" collapsed="false">
      <c r="A22" s="14" t="s">
        <v>37</v>
      </c>
      <c r="B22" s="14"/>
      <c r="C22" s="14"/>
      <c r="D22" s="14"/>
      <c r="E22" s="14"/>
    </row>
    <row r="23" customFormat="false" ht="15" hidden="false" customHeight="false" outlineLevel="0" collapsed="false">
      <c r="A23" s="6" t="s">
        <v>38</v>
      </c>
      <c r="B23" s="7" t="n">
        <v>1</v>
      </c>
      <c r="C23" s="15" t="n">
        <v>70000</v>
      </c>
      <c r="D23" s="15" t="n">
        <f aca="false">B23*C23</f>
        <v>70000</v>
      </c>
      <c r="E23" s="7" t="s">
        <v>39</v>
      </c>
    </row>
    <row r="24" customFormat="false" ht="15" hidden="false" customHeight="false" outlineLevel="0" collapsed="false">
      <c r="A24" s="6" t="s">
        <v>40</v>
      </c>
      <c r="B24" s="7" t="n">
        <v>1</v>
      </c>
      <c r="C24" s="15" t="n">
        <v>2000</v>
      </c>
      <c r="D24" s="15" t="n">
        <f aca="false">B24*C24</f>
        <v>2000</v>
      </c>
      <c r="E24" s="7" t="s">
        <v>39</v>
      </c>
    </row>
    <row r="25" customFormat="false" ht="15" hidden="false" customHeight="false" outlineLevel="0" collapsed="false">
      <c r="A25" s="6" t="s">
        <v>41</v>
      </c>
      <c r="B25" s="7" t="n">
        <v>1</v>
      </c>
      <c r="C25" s="15" t="n">
        <v>15000</v>
      </c>
      <c r="D25" s="15" t="n">
        <f aca="false">B25*C25</f>
        <v>15000</v>
      </c>
      <c r="E25" s="7" t="s">
        <v>39</v>
      </c>
    </row>
    <row r="26" customFormat="false" ht="15" hidden="false" customHeight="false" outlineLevel="0" collapsed="false">
      <c r="A26" s="6"/>
      <c r="B26" s="7"/>
      <c r="C26" s="16"/>
      <c r="D26" s="16"/>
      <c r="E26" s="7"/>
    </row>
    <row r="27" customFormat="false" ht="15" hidden="false" customHeight="true" outlineLevel="0" collapsed="false">
      <c r="A27" s="14" t="s">
        <v>42</v>
      </c>
      <c r="B27" s="14"/>
      <c r="C27" s="14"/>
      <c r="D27" s="14"/>
      <c r="E27" s="14"/>
    </row>
    <row r="28" customFormat="false" ht="15" hidden="false" customHeight="false" outlineLevel="0" collapsed="false">
      <c r="A28" s="6" t="s">
        <v>43</v>
      </c>
      <c r="B28" s="7" t="n">
        <v>1</v>
      </c>
      <c r="C28" s="15" t="n">
        <v>60000</v>
      </c>
      <c r="D28" s="15" t="n">
        <f aca="false">B28*C28</f>
        <v>60000</v>
      </c>
      <c r="E28" s="7" t="s">
        <v>44</v>
      </c>
    </row>
    <row r="29" customFormat="false" ht="15" hidden="false" customHeight="false" outlineLevel="0" collapsed="false">
      <c r="A29" s="6" t="s">
        <v>45</v>
      </c>
      <c r="B29" s="7" t="n">
        <v>1</v>
      </c>
      <c r="C29" s="15" t="n">
        <v>40000</v>
      </c>
      <c r="D29" s="15" t="n">
        <f aca="false">B29*C29</f>
        <v>40000</v>
      </c>
      <c r="E29" s="7" t="s">
        <v>44</v>
      </c>
    </row>
    <row r="30" customFormat="false" ht="15" hidden="false" customHeight="false" outlineLevel="0" collapsed="false">
      <c r="A30" s="6" t="s">
        <v>46</v>
      </c>
      <c r="B30" s="7" t="n">
        <v>1</v>
      </c>
      <c r="C30" s="15" t="n">
        <v>20000</v>
      </c>
      <c r="D30" s="15" t="n">
        <f aca="false">B30*C30</f>
        <v>20000</v>
      </c>
      <c r="E30" s="7" t="s">
        <v>47</v>
      </c>
    </row>
    <row r="31" customFormat="false" ht="15" hidden="false" customHeight="false" outlineLevel="0" collapsed="false">
      <c r="A31" s="6" t="s">
        <v>48</v>
      </c>
      <c r="B31" s="7" t="n">
        <v>1</v>
      </c>
      <c r="C31" s="15" t="n">
        <v>50000</v>
      </c>
      <c r="D31" s="15" t="n">
        <f aca="false">B31*C31</f>
        <v>50000</v>
      </c>
      <c r="E31" s="7" t="s">
        <v>44</v>
      </c>
    </row>
    <row r="32" customFormat="false" ht="15" hidden="false" customHeight="false" outlineLevel="0" collapsed="false">
      <c r="A32" s="6"/>
      <c r="B32" s="7"/>
      <c r="C32" s="16"/>
      <c r="D32" s="16"/>
      <c r="E32" s="7"/>
    </row>
    <row r="33" customFormat="false" ht="15" hidden="false" customHeight="true" outlineLevel="0" collapsed="false">
      <c r="A33" s="14" t="s">
        <v>49</v>
      </c>
      <c r="B33" s="14"/>
      <c r="C33" s="14"/>
      <c r="D33" s="14"/>
      <c r="E33" s="14"/>
    </row>
    <row r="34" customFormat="false" ht="15" hidden="false" customHeight="false" outlineLevel="0" collapsed="false">
      <c r="A34" s="6" t="s">
        <v>50</v>
      </c>
      <c r="B34" s="7" t="n">
        <v>1</v>
      </c>
      <c r="C34" s="15" t="n">
        <v>80000</v>
      </c>
      <c r="D34" s="15" t="n">
        <f aca="false">B34*C34</f>
        <v>80000</v>
      </c>
      <c r="E34" s="7" t="s">
        <v>51</v>
      </c>
    </row>
    <row r="35" customFormat="false" ht="15" hidden="false" customHeight="false" outlineLevel="0" collapsed="false">
      <c r="A35" s="6" t="s">
        <v>52</v>
      </c>
      <c r="B35" s="7" t="n">
        <v>1</v>
      </c>
      <c r="C35" s="15" t="n">
        <v>25000</v>
      </c>
      <c r="D35" s="15" t="n">
        <f aca="false">B35*C35</f>
        <v>25000</v>
      </c>
      <c r="E35" s="7" t="s">
        <v>51</v>
      </c>
    </row>
    <row r="37" customFormat="false" ht="15" hidden="false" customHeight="true" outlineLevel="0" collapsed="false">
      <c r="A37" s="17" t="s">
        <v>53</v>
      </c>
      <c r="B37" s="17"/>
      <c r="C37" s="17"/>
      <c r="D37" s="18" t="n">
        <f aca="false">SUM(D7:D35)</f>
        <v>910000</v>
      </c>
      <c r="E37" s="11"/>
    </row>
  </sheetData>
  <mergeCells count="9">
    <mergeCell ref="A1:E1"/>
    <mergeCell ref="A3:E3"/>
    <mergeCell ref="A6:E6"/>
    <mergeCell ref="A12:E12"/>
    <mergeCell ref="A17:E17"/>
    <mergeCell ref="A22:E22"/>
    <mergeCell ref="A27:E27"/>
    <mergeCell ref="A33:E33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5"/>
  </cols>
  <sheetData>
    <row r="1" customFormat="false" ht="24.75" hidden="false" customHeight="true" outlineLevel="0" collapsed="false">
      <c r="A1" s="12" t="s">
        <v>54</v>
      </c>
      <c r="B1" s="12"/>
      <c r="C1" s="12"/>
      <c r="D1" s="12"/>
      <c r="E1" s="12"/>
    </row>
    <row r="3" customFormat="false" ht="15" hidden="false" customHeight="true" outlineLevel="0" collapsed="false">
      <c r="A3" s="13" t="s">
        <v>55</v>
      </c>
      <c r="B3" s="13"/>
      <c r="C3" s="13"/>
      <c r="D3" s="13"/>
      <c r="E3" s="13"/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  <c r="D5" s="5" t="s">
        <v>4</v>
      </c>
      <c r="E5" s="5" t="s">
        <v>18</v>
      </c>
    </row>
    <row r="6" customFormat="false" ht="15" hidden="false" customHeight="true" outlineLevel="0" collapsed="false">
      <c r="A6" s="14" t="s">
        <v>56</v>
      </c>
      <c r="B6" s="14"/>
      <c r="C6" s="14"/>
      <c r="D6" s="14"/>
      <c r="E6" s="14"/>
    </row>
    <row r="7" customFormat="false" ht="15" hidden="false" customHeight="false" outlineLevel="0" collapsed="false">
      <c r="A7" s="6" t="s">
        <v>57</v>
      </c>
      <c r="B7" s="7" t="n">
        <v>1</v>
      </c>
      <c r="C7" s="15" t="n">
        <v>49500</v>
      </c>
      <c r="D7" s="15" t="n">
        <f aca="false">B7*C7</f>
        <v>49500</v>
      </c>
      <c r="E7" s="7" t="s">
        <v>58</v>
      </c>
    </row>
    <row r="8" customFormat="false" ht="15" hidden="false" customHeight="false" outlineLevel="0" collapsed="false">
      <c r="A8" s="6" t="s">
        <v>59</v>
      </c>
      <c r="B8" s="7" t="n">
        <v>1</v>
      </c>
      <c r="C8" s="15" t="n">
        <v>65000</v>
      </c>
      <c r="D8" s="15" t="n">
        <f aca="false">B8*C8</f>
        <v>65000</v>
      </c>
      <c r="E8" s="7" t="s">
        <v>34</v>
      </c>
    </row>
    <row r="9" customFormat="false" ht="15" hidden="false" customHeight="false" outlineLevel="0" collapsed="false">
      <c r="A9" s="6" t="s">
        <v>60</v>
      </c>
      <c r="B9" s="7" t="n">
        <v>1</v>
      </c>
      <c r="C9" s="15" t="n">
        <v>12000</v>
      </c>
      <c r="D9" s="15" t="n">
        <f aca="false">B9*C9</f>
        <v>12000</v>
      </c>
      <c r="E9" s="7" t="s">
        <v>34</v>
      </c>
    </row>
    <row r="10" customFormat="false" ht="15" hidden="false" customHeight="false" outlineLevel="0" collapsed="false">
      <c r="A10" s="6" t="s">
        <v>61</v>
      </c>
      <c r="B10" s="7" t="n">
        <v>1</v>
      </c>
      <c r="C10" s="15" t="n">
        <v>35000</v>
      </c>
      <c r="D10" s="15" t="n">
        <f aca="false">B10*C10</f>
        <v>35000</v>
      </c>
      <c r="E10" s="7" t="s">
        <v>34</v>
      </c>
    </row>
    <row r="11" customFormat="false" ht="15" hidden="false" customHeight="false" outlineLevel="0" collapsed="false">
      <c r="A11" s="6" t="s">
        <v>62</v>
      </c>
      <c r="B11" s="7" t="n">
        <v>1</v>
      </c>
      <c r="C11" s="15" t="n">
        <v>20000</v>
      </c>
      <c r="D11" s="15" t="n">
        <f aca="false">B11*C11</f>
        <v>20000</v>
      </c>
      <c r="E11" s="7" t="s">
        <v>34</v>
      </c>
    </row>
    <row r="12" customFormat="false" ht="15" hidden="false" customHeight="false" outlineLevel="0" collapsed="false">
      <c r="A12" s="6"/>
      <c r="B12" s="7"/>
      <c r="C12" s="16"/>
      <c r="D12" s="16"/>
      <c r="E12" s="7"/>
    </row>
    <row r="13" customFormat="false" ht="15" hidden="false" customHeight="true" outlineLevel="0" collapsed="false">
      <c r="A13" s="14" t="s">
        <v>63</v>
      </c>
      <c r="B13" s="14"/>
      <c r="C13" s="14"/>
      <c r="D13" s="14"/>
      <c r="E13" s="14"/>
    </row>
    <row r="14" customFormat="false" ht="15" hidden="false" customHeight="false" outlineLevel="0" collapsed="false">
      <c r="A14" s="6" t="s">
        <v>64</v>
      </c>
      <c r="B14" s="7" t="n">
        <v>1</v>
      </c>
      <c r="C14" s="15" t="n">
        <v>19000</v>
      </c>
      <c r="D14" s="15" t="n">
        <f aca="false">B14*C14</f>
        <v>19000</v>
      </c>
      <c r="E14" s="7" t="s">
        <v>39</v>
      </c>
    </row>
    <row r="15" customFormat="false" ht="15" hidden="false" customHeight="false" outlineLevel="0" collapsed="false">
      <c r="A15" s="6" t="s">
        <v>65</v>
      </c>
      <c r="B15" s="7" t="n">
        <v>1</v>
      </c>
      <c r="C15" s="15" t="n">
        <v>9500</v>
      </c>
      <c r="D15" s="15" t="n">
        <f aca="false">B15*C15</f>
        <v>9500</v>
      </c>
      <c r="E15" s="7" t="s">
        <v>66</v>
      </c>
    </row>
    <row r="16" customFormat="false" ht="15" hidden="false" customHeight="false" outlineLevel="0" collapsed="false">
      <c r="A16" s="6" t="s">
        <v>67</v>
      </c>
      <c r="B16" s="7" t="n">
        <v>1</v>
      </c>
      <c r="C16" s="15" t="n">
        <v>5000</v>
      </c>
      <c r="D16" s="15" t="n">
        <f aca="false">B16*C16</f>
        <v>5000</v>
      </c>
      <c r="E16" s="7" t="s">
        <v>68</v>
      </c>
    </row>
    <row r="17" customFormat="false" ht="15" hidden="false" customHeight="false" outlineLevel="0" collapsed="false">
      <c r="A17" s="6"/>
      <c r="B17" s="7"/>
      <c r="C17" s="16"/>
      <c r="D17" s="16"/>
      <c r="E17" s="7"/>
    </row>
    <row r="18" customFormat="false" ht="15" hidden="false" customHeight="true" outlineLevel="0" collapsed="false">
      <c r="A18" s="14" t="s">
        <v>69</v>
      </c>
      <c r="B18" s="14"/>
      <c r="C18" s="14"/>
      <c r="D18" s="14"/>
      <c r="E18" s="14"/>
    </row>
    <row r="19" customFormat="false" ht="15" hidden="false" customHeight="false" outlineLevel="0" collapsed="false">
      <c r="A19" s="6" t="s">
        <v>70</v>
      </c>
      <c r="B19" s="7" t="n">
        <v>1</v>
      </c>
      <c r="C19" s="15" t="n">
        <v>40000</v>
      </c>
      <c r="D19" s="15" t="n">
        <f aca="false">B19*C19</f>
        <v>40000</v>
      </c>
      <c r="E19" s="7" t="s">
        <v>71</v>
      </c>
    </row>
    <row r="20" customFormat="false" ht="15" hidden="false" customHeight="false" outlineLevel="0" collapsed="false">
      <c r="A20" s="6" t="s">
        <v>72</v>
      </c>
      <c r="B20" s="7" t="n">
        <v>1</v>
      </c>
      <c r="C20" s="15" t="n">
        <v>120000</v>
      </c>
      <c r="D20" s="15" t="n">
        <f aca="false">B20*C20</f>
        <v>120000</v>
      </c>
      <c r="E20" s="7" t="s">
        <v>73</v>
      </c>
    </row>
    <row r="21" customFormat="false" ht="15" hidden="false" customHeight="false" outlineLevel="0" collapsed="false">
      <c r="A21" s="6"/>
      <c r="B21" s="7"/>
      <c r="C21" s="16"/>
      <c r="D21" s="16"/>
      <c r="E21" s="7"/>
    </row>
    <row r="22" customFormat="false" ht="15" hidden="false" customHeight="true" outlineLevel="0" collapsed="false">
      <c r="A22" s="14" t="s">
        <v>74</v>
      </c>
      <c r="B22" s="14"/>
      <c r="C22" s="14"/>
      <c r="D22" s="14"/>
      <c r="E22" s="14"/>
    </row>
    <row r="23" customFormat="false" ht="15" hidden="false" customHeight="false" outlineLevel="0" collapsed="false">
      <c r="A23" s="6" t="s">
        <v>75</v>
      </c>
      <c r="B23" s="7" t="n">
        <v>1</v>
      </c>
      <c r="C23" s="15" t="n">
        <v>350000</v>
      </c>
      <c r="D23" s="15" t="n">
        <f aca="false">B23*C23</f>
        <v>350000</v>
      </c>
      <c r="E23" s="7" t="s">
        <v>51</v>
      </c>
    </row>
    <row r="24" customFormat="false" ht="15" hidden="false" customHeight="false" outlineLevel="0" collapsed="false">
      <c r="A24" s="6"/>
      <c r="B24" s="7"/>
      <c r="C24" s="16"/>
      <c r="D24" s="16"/>
      <c r="E24" s="7"/>
    </row>
    <row r="25" customFormat="false" ht="15" hidden="false" customHeight="true" outlineLevel="0" collapsed="false">
      <c r="A25" s="14" t="s">
        <v>76</v>
      </c>
      <c r="B25" s="14"/>
      <c r="C25" s="14"/>
      <c r="D25" s="14"/>
      <c r="E25" s="14"/>
    </row>
    <row r="26" customFormat="false" ht="15" hidden="false" customHeight="false" outlineLevel="0" collapsed="false">
      <c r="A26" s="6" t="s">
        <v>77</v>
      </c>
      <c r="B26" s="7" t="n">
        <v>1</v>
      </c>
      <c r="C26" s="15" t="n">
        <v>60000</v>
      </c>
      <c r="D26" s="15" t="n">
        <f aca="false">B26*C26</f>
        <v>60000</v>
      </c>
      <c r="E26" s="7" t="s">
        <v>51</v>
      </c>
    </row>
    <row r="28" customFormat="false" ht="15" hidden="false" customHeight="false" outlineLevel="0" collapsed="false">
      <c r="A28" s="19" t="s">
        <v>78</v>
      </c>
      <c r="B28" s="19"/>
      <c r="C28" s="19"/>
      <c r="D28" s="10" t="n">
        <f aca="false">SUM(D7:D20)</f>
        <v>375000</v>
      </c>
      <c r="E28" s="11"/>
    </row>
    <row r="29" customFormat="false" ht="15" hidden="false" customHeight="false" outlineLevel="0" collapsed="false">
      <c r="A29" s="20" t="s">
        <v>79</v>
      </c>
      <c r="B29" s="20"/>
      <c r="C29" s="20"/>
      <c r="D29" s="21" t="n">
        <f aca="false">SUM(D7:D23)</f>
        <v>725000</v>
      </c>
      <c r="E29" s="11"/>
    </row>
    <row r="30" customFormat="false" ht="15" hidden="false" customHeight="false" outlineLevel="0" collapsed="false">
      <c r="A30" s="19" t="s">
        <v>80</v>
      </c>
      <c r="B30" s="19"/>
      <c r="C30" s="19"/>
      <c r="D30" s="10" t="n">
        <f aca="false">SUM(D7:D26)</f>
        <v>785000</v>
      </c>
      <c r="E30" s="11"/>
    </row>
  </sheetData>
  <mergeCells count="10">
    <mergeCell ref="A1:E1"/>
    <mergeCell ref="A3:E3"/>
    <mergeCell ref="A6:E6"/>
    <mergeCell ref="A13:E13"/>
    <mergeCell ref="A18:E18"/>
    <mergeCell ref="A22:E22"/>
    <mergeCell ref="A25:E25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15"/>
  </cols>
  <sheetData>
    <row r="1" customFormat="false" ht="24.75" hidden="false" customHeight="true" outlineLevel="0" collapsed="false">
      <c r="A1" s="12" t="s">
        <v>81</v>
      </c>
      <c r="B1" s="12"/>
      <c r="C1" s="12"/>
      <c r="D1" s="12"/>
      <c r="E1" s="12"/>
    </row>
    <row r="3" customFormat="false" ht="15" hidden="false" customHeight="true" outlineLevel="0" collapsed="false">
      <c r="A3" s="13" t="s">
        <v>82</v>
      </c>
      <c r="B3" s="13"/>
      <c r="C3" s="13"/>
      <c r="D3" s="13"/>
      <c r="E3" s="13"/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  <c r="D5" s="5" t="s">
        <v>4</v>
      </c>
      <c r="E5" s="5" t="s">
        <v>18</v>
      </c>
    </row>
    <row r="6" customFormat="false" ht="15" hidden="false" customHeight="true" outlineLevel="0" collapsed="false">
      <c r="A6" s="14" t="s">
        <v>83</v>
      </c>
      <c r="B6" s="14"/>
      <c r="C6" s="14"/>
      <c r="D6" s="14"/>
      <c r="E6" s="14"/>
    </row>
    <row r="7" customFormat="false" ht="15" hidden="false" customHeight="false" outlineLevel="0" collapsed="false">
      <c r="A7" s="6" t="s">
        <v>84</v>
      </c>
      <c r="B7" s="7" t="n">
        <v>1</v>
      </c>
      <c r="C7" s="15" t="n">
        <v>9000</v>
      </c>
      <c r="D7" s="15" t="n">
        <f aca="false">B7*C7</f>
        <v>9000</v>
      </c>
      <c r="E7" s="7" t="s">
        <v>58</v>
      </c>
    </row>
    <row r="8" customFormat="false" ht="15" hidden="false" customHeight="false" outlineLevel="0" collapsed="false">
      <c r="A8" s="6" t="s">
        <v>85</v>
      </c>
      <c r="B8" s="7" t="n">
        <v>1</v>
      </c>
      <c r="C8" s="15" t="n">
        <v>2500</v>
      </c>
      <c r="D8" s="15" t="n">
        <f aca="false">B8*C8</f>
        <v>2500</v>
      </c>
      <c r="E8" s="7" t="s">
        <v>58</v>
      </c>
    </row>
    <row r="9" customFormat="false" ht="15" hidden="false" customHeight="false" outlineLevel="0" collapsed="false">
      <c r="A9" s="6" t="s">
        <v>86</v>
      </c>
      <c r="B9" s="7" t="n">
        <v>1</v>
      </c>
      <c r="C9" s="15" t="n">
        <v>4500</v>
      </c>
      <c r="D9" s="15" t="n">
        <f aca="false">B9*C9</f>
        <v>4500</v>
      </c>
      <c r="E9" s="7" t="s">
        <v>39</v>
      </c>
    </row>
    <row r="10" customFormat="false" ht="15" hidden="false" customHeight="false" outlineLevel="0" collapsed="false">
      <c r="A10" s="6" t="s">
        <v>87</v>
      </c>
      <c r="B10" s="7" t="n">
        <v>1</v>
      </c>
      <c r="C10" s="15" t="n">
        <v>2000</v>
      </c>
      <c r="D10" s="15" t="n">
        <f aca="false">B10*C10</f>
        <v>2000</v>
      </c>
      <c r="E10" s="7" t="s">
        <v>34</v>
      </c>
    </row>
    <row r="11" customFormat="false" ht="15" hidden="false" customHeight="false" outlineLevel="0" collapsed="false">
      <c r="A11" s="6" t="s">
        <v>88</v>
      </c>
      <c r="B11" s="7" t="n">
        <v>1</v>
      </c>
      <c r="C11" s="15" t="n">
        <v>22000</v>
      </c>
      <c r="D11" s="15" t="n">
        <f aca="false">B11*C11</f>
        <v>22000</v>
      </c>
      <c r="E11" s="7" t="s">
        <v>71</v>
      </c>
    </row>
    <row r="12" customFormat="false" ht="15" hidden="false" customHeight="false" outlineLevel="0" collapsed="false">
      <c r="A12" s="6"/>
      <c r="B12" s="7"/>
      <c r="C12" s="16"/>
      <c r="D12" s="16"/>
      <c r="E12" s="7"/>
    </row>
    <row r="13" customFormat="false" ht="15" hidden="false" customHeight="true" outlineLevel="0" collapsed="false">
      <c r="A13" s="14" t="s">
        <v>89</v>
      </c>
      <c r="B13" s="14"/>
      <c r="C13" s="14"/>
      <c r="D13" s="14"/>
      <c r="E13" s="14"/>
    </row>
    <row r="14" customFormat="false" ht="15" hidden="false" customHeight="false" outlineLevel="0" collapsed="false">
      <c r="A14" s="6" t="s">
        <v>90</v>
      </c>
      <c r="B14" s="7" t="n">
        <v>1</v>
      </c>
      <c r="C14" s="15" t="n">
        <v>5000</v>
      </c>
      <c r="D14" s="15" t="n">
        <f aca="false">B14*C14</f>
        <v>5000</v>
      </c>
      <c r="E14" s="7" t="s">
        <v>91</v>
      </c>
    </row>
    <row r="15" customFormat="false" ht="15" hidden="false" customHeight="false" outlineLevel="0" collapsed="false">
      <c r="A15" s="6" t="s">
        <v>92</v>
      </c>
      <c r="B15" s="7" t="n">
        <v>1</v>
      </c>
      <c r="C15" s="15" t="n">
        <v>2000</v>
      </c>
      <c r="D15" s="15" t="n">
        <f aca="false">B15*C15</f>
        <v>2000</v>
      </c>
      <c r="E15" s="7" t="s">
        <v>93</v>
      </c>
    </row>
    <row r="16" customFormat="false" ht="15" hidden="false" customHeight="false" outlineLevel="0" collapsed="false">
      <c r="A16" s="6" t="s">
        <v>94</v>
      </c>
      <c r="B16" s="7" t="n">
        <v>1</v>
      </c>
      <c r="C16" s="15" t="n">
        <v>9000</v>
      </c>
      <c r="D16" s="15" t="n">
        <f aca="false">B16*C16</f>
        <v>9000</v>
      </c>
      <c r="E16" s="7" t="s">
        <v>21</v>
      </c>
    </row>
    <row r="17" customFormat="false" ht="15" hidden="false" customHeight="false" outlineLevel="0" collapsed="false">
      <c r="A17" s="6"/>
      <c r="B17" s="7"/>
      <c r="C17" s="16"/>
      <c r="D17" s="16"/>
      <c r="E17" s="7"/>
    </row>
    <row r="18" customFormat="false" ht="15" hidden="false" customHeight="true" outlineLevel="0" collapsed="false">
      <c r="A18" s="14" t="s">
        <v>95</v>
      </c>
      <c r="B18" s="14"/>
      <c r="C18" s="14"/>
      <c r="D18" s="14"/>
      <c r="E18" s="14"/>
    </row>
    <row r="19" customFormat="false" ht="15" hidden="false" customHeight="false" outlineLevel="0" collapsed="false">
      <c r="A19" s="6" t="s">
        <v>96</v>
      </c>
      <c r="B19" s="7" t="n">
        <v>1</v>
      </c>
      <c r="C19" s="15" t="n">
        <v>15000</v>
      </c>
      <c r="D19" s="15" t="n">
        <f aca="false">B19*C19</f>
        <v>15000</v>
      </c>
      <c r="E19" s="7" t="s">
        <v>97</v>
      </c>
    </row>
    <row r="20" customFormat="false" ht="15" hidden="false" customHeight="false" outlineLevel="0" collapsed="false">
      <c r="A20" s="6" t="s">
        <v>98</v>
      </c>
      <c r="B20" s="7" t="n">
        <v>1</v>
      </c>
      <c r="C20" s="15" t="n">
        <v>30000</v>
      </c>
      <c r="D20" s="15" t="n">
        <f aca="false">B20*C20</f>
        <v>30000</v>
      </c>
      <c r="E20" s="7" t="s">
        <v>97</v>
      </c>
    </row>
    <row r="21" customFormat="false" ht="15" hidden="false" customHeight="false" outlineLevel="0" collapsed="false">
      <c r="A21" s="6" t="s">
        <v>99</v>
      </c>
      <c r="B21" s="7" t="n">
        <v>1</v>
      </c>
      <c r="C21" s="15" t="n">
        <v>100000</v>
      </c>
      <c r="D21" s="15" t="n">
        <f aca="false">B21*C21</f>
        <v>100000</v>
      </c>
      <c r="E21" s="7" t="s">
        <v>73</v>
      </c>
    </row>
    <row r="22" customFormat="false" ht="15" hidden="false" customHeight="false" outlineLevel="0" collapsed="false">
      <c r="A22" s="6" t="s">
        <v>100</v>
      </c>
      <c r="B22" s="7" t="n">
        <v>1</v>
      </c>
      <c r="C22" s="15" t="n">
        <v>40000</v>
      </c>
      <c r="D22" s="15" t="n">
        <f aca="false">B22*C22</f>
        <v>40000</v>
      </c>
      <c r="E22" s="7" t="s">
        <v>101</v>
      </c>
    </row>
    <row r="23" customFormat="false" ht="15" hidden="false" customHeight="false" outlineLevel="0" collapsed="false">
      <c r="A23" s="6" t="s">
        <v>102</v>
      </c>
      <c r="B23" s="7" t="n">
        <v>1</v>
      </c>
      <c r="C23" s="15" t="n">
        <v>30000</v>
      </c>
      <c r="D23" s="15" t="n">
        <f aca="false">B23*C23</f>
        <v>30000</v>
      </c>
      <c r="E23" s="7" t="s">
        <v>71</v>
      </c>
    </row>
    <row r="25" customFormat="false" ht="15" hidden="false" customHeight="true" outlineLevel="0" collapsed="false">
      <c r="A25" s="22" t="s">
        <v>103</v>
      </c>
      <c r="B25" s="22"/>
      <c r="C25" s="22"/>
      <c r="D25" s="18" t="n">
        <f aca="false">SUM(D7:D23)</f>
        <v>271000</v>
      </c>
      <c r="E25" s="11"/>
    </row>
  </sheetData>
  <mergeCells count="6">
    <mergeCell ref="A1:E1"/>
    <mergeCell ref="A3:E3"/>
    <mergeCell ref="A6:E6"/>
    <mergeCell ref="A13:E13"/>
    <mergeCell ref="A18:E18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2026-02-19T17:13:47Z</dcterms:created>
  <dc:creator>openpyxl</dc:creator>
  <dc:description/>
  <dc:language>en-NG</dc:language>
  <cp:lastModifiedBy/>
  <dcterms:modified xsi:type="dcterms:W3CDTF">2026-02-19T18:46:59Z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