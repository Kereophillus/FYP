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Equipment List" sheetId="1" state="visible" r:id="rId3"/>
    <sheet name="Redundancy Analysis" sheetId="2" state="visible" r:id="rId4"/>
    <sheet name="Project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<sst xmlns="http://schemas.openxmlformats.org/spreadsheetml/2006/main" count="190" uniqueCount="179">
  <si>
    <t xml:space="preserve">COMPLETE EQUIPMENT LIST - ALL PROJECTS</t>
  </si>
  <si>
    <t xml:space="preserve">Comprehensive breakdown showing all equipment across three projects</t>
  </si>
  <si>
    <t xml:space="preserve">Item Description</t>
  </si>
  <si>
    <t xml:space="preserve">Security</t>
  </si>
  <si>
    <t xml:space="preserve">Water Quality</t>
  </si>
  <si>
    <t xml:space="preserve">Automated Feeding</t>
  </si>
  <si>
    <t xml:space="preserve">Unit Cost (₦)</t>
  </si>
  <si>
    <t xml:space="preserve">Total Qty</t>
  </si>
  <si>
    <t xml:space="preserve">Total Cost (₦)</t>
  </si>
  <si>
    <t xml:space="preserve">POWER SUPPLY COMPONENTS</t>
  </si>
  <si>
    <t xml:space="preserve">40W Solar Panel</t>
  </si>
  <si>
    <t xml:space="preserve">MPPT Charge Controller</t>
  </si>
  <si>
    <t xml:space="preserve">12V 20Ah Deep Cycle Battery</t>
  </si>
  <si>
    <t xml:space="preserve">12V→5V Buck Converter</t>
  </si>
  <si>
    <t xml:space="preserve">12V Power Supply + Backup Battery</t>
  </si>
  <si>
    <t xml:space="preserve">Solar Panel &amp; Battery Pack (Optional)</t>
  </si>
  <si>
    <t xml:space="preserve">COMPUTING &amp; PROCESSING</t>
  </si>
  <si>
    <t xml:space="preserve">Raspberry Pi 5 (8GB)</t>
  </si>
  <si>
    <t xml:space="preserve">ESP32 Microcontroller &amp; Expansion</t>
  </si>
  <si>
    <t xml:space="preserve">Arduino Nano (ATmega328P)</t>
  </si>
  <si>
    <t xml:space="preserve">64GB High-Endurance MicroSD</t>
  </si>
  <si>
    <t xml:space="preserve">Official Cooling Case</t>
  </si>
  <si>
    <t xml:space="preserve">SENSORS &amp; MONITORING EQUIPMENT</t>
  </si>
  <si>
    <t xml:space="preserve">CSI IR Camera Module</t>
  </si>
  <si>
    <t xml:space="preserve">IR LED Illumination Module</t>
  </si>
  <si>
    <t xml:space="preserve">PIR Motion Sensor</t>
  </si>
  <si>
    <t xml:space="preserve">pH Sensor Module</t>
  </si>
  <si>
    <t xml:space="preserve">DS18B20 Temperature Sensor</t>
  </si>
  <si>
    <t xml:space="preserve">Turbidity Sensor</t>
  </si>
  <si>
    <t xml:space="preserve">Water Level Sensor</t>
  </si>
  <si>
    <t xml:space="preserve">Dissolved Oxygen (DO) Sensor</t>
  </si>
  <si>
    <t xml:space="preserve">Ultrasonic Sensor (HC-SR04)</t>
  </si>
  <si>
    <t xml:space="preserve">COMMUNICATION MODULES</t>
  </si>
  <si>
    <t xml:space="preserve">LTE USB Modem</t>
  </si>
  <si>
    <t xml:space="preserve">SIM Card</t>
  </si>
  <si>
    <t xml:space="preserve">First Month Data Plan</t>
  </si>
  <si>
    <t xml:space="preserve">SIM800L GSM Module</t>
  </si>
  <si>
    <t xml:space="preserve">ESP8266 WiFi Module</t>
  </si>
  <si>
    <t xml:space="preserve">TIMING &amp; CONTROL MODULES</t>
  </si>
  <si>
    <t xml:space="preserve">DS3231 RTC Module</t>
  </si>
  <si>
    <t xml:space="preserve">Relay Module</t>
  </si>
  <si>
    <t xml:space="preserve">Servo/DC Motor (12V)</t>
  </si>
  <si>
    <t xml:space="preserve">DISPLAY &amp; ALERT SYSTEMS</t>
  </si>
  <si>
    <t xml:space="preserve">16x2 LCD Display with I2C</t>
  </si>
  <si>
    <t xml:space="preserve">Buzzer and LED Indicators</t>
  </si>
  <si>
    <t xml:space="preserve">STRUCTURAL &amp; MOUNTING</t>
  </si>
  <si>
    <t xml:space="preserve">Weatherproof Enclosure</t>
  </si>
  <si>
    <t xml:space="preserve">Mounting Brackets &amp; Wiring</t>
  </si>
  <si>
    <t xml:space="preserve">Surge Protector / DC Fuse</t>
  </si>
  <si>
    <t xml:space="preserve">Pole / Mount Stand</t>
  </si>
  <si>
    <t xml:space="preserve">MATERIALS &amp; ELECTRONIC COMPONENTS</t>
  </si>
  <si>
    <t xml:space="preserve">Jumper Wires, Headers &amp; Converters</t>
  </si>
  <si>
    <t xml:space="preserve">Packaging, Wiring &amp; Miscellaneous</t>
  </si>
  <si>
    <t xml:space="preserve">Packaging &amp; Accessories</t>
  </si>
  <si>
    <t xml:space="preserve">MANUFACTURING &amp; FABRICATION</t>
  </si>
  <si>
    <t xml:space="preserve">Custom Circuit Fabrication</t>
  </si>
  <si>
    <t xml:space="preserve">3D Printing &amp; Dispenser Mechanism</t>
  </si>
  <si>
    <t xml:space="preserve">DEVELOPMENT &amp; INTEGRATION COSTS</t>
  </si>
  <si>
    <t xml:space="preserve">Embedded Systems Dev Cost (P2)</t>
  </si>
  <si>
    <t xml:space="preserve">Embedded System Fabrication (P3)</t>
  </si>
  <si>
    <t xml:space="preserve">Web Dashboard Integration</t>
  </si>
  <si>
    <t xml:space="preserve">OTHER COMPONENTS</t>
  </si>
  <si>
    <t xml:space="preserve">External SSD (For Logging)</t>
  </si>
  <si>
    <t xml:space="preserve">Power Monitoring Module</t>
  </si>
  <si>
    <t xml:space="preserve">TOTAL - ALL EQUIPMENT</t>
  </si>
  <si>
    <t xml:space="preserve">REDUNDANCY &amp; SHARED EQUIPMENT ANALYSIS</t>
  </si>
  <si>
    <t xml:space="preserve">Identifying equipment that could be shared across projects to reduce costs</t>
  </si>
  <si>
    <t xml:space="preserve">1. POTENTIALLY REDUNDANT EQUIPMENT (Similar Function Across Projects)</t>
  </si>
  <si>
    <t xml:space="preserve">Equipment Type</t>
  </si>
  <si>
    <t xml:space="preserve">Project 1</t>
  </si>
  <si>
    <t xml:space="preserve">Project 2</t>
  </si>
  <si>
    <t xml:space="preserve">Project 3</t>
  </si>
  <si>
    <t xml:space="preserve">Total If Separate</t>
  </si>
  <si>
    <t xml:space="preserve">Potential Saving</t>
  </si>
  <si>
    <t xml:space="preserve">Recommendation</t>
  </si>
  <si>
    <t xml:space="preserve">Microcontrollers</t>
  </si>
  <si>
    <t xml:space="preserve">RPi 5 (₦160k)</t>
  </si>
  <si>
    <t xml:space="preserve">ESP32 (₦49.5k)</t>
  </si>
  <si>
    <t xml:space="preserve">Arduino Nano (₦9k)</t>
  </si>
  <si>
    <t xml:space="preserve">₦0</t>
  </si>
  <si>
    <t xml:space="preserve">Cannot consolidate - different capabilities needed</t>
  </si>
  <si>
    <t xml:space="preserve">Communication</t>
  </si>
  <si>
    <t xml:space="preserve">LTE Modem (₦70k)</t>
  </si>
  <si>
    <t xml:space="preserve">GSM SIM800L (₦19k)</t>
  </si>
  <si>
    <t xml:space="preserve">WiFi ESP8266 (₦4.5k)</t>
  </si>
  <si>
    <t xml:space="preserve">Different protocols - all required</t>
  </si>
  <si>
    <t xml:space="preserve">Power Supply</t>
  </si>
  <si>
    <t xml:space="preserve">12V Solar System</t>
  </si>
  <si>
    <t xml:space="preserve">Optional Solar</t>
  </si>
  <si>
    <t xml:space="preserve">12V Supply</t>
  </si>
  <si>
    <t xml:space="preserve">₦60,000</t>
  </si>
  <si>
    <t xml:space="preserve">Could share solar system if co-located</t>
  </si>
  <si>
    <t xml:space="preserve">Development Work</t>
  </si>
  <si>
    <t xml:space="preserve">None (Commercial)</t>
  </si>
  <si>
    <t xml:space="preserve">Embedded Dev (₦120k)</t>
  </si>
  <si>
    <t xml:space="preserve">Embedded Dev (₦100k)</t>
  </si>
  <si>
    <t xml:space="preserve">₦70,000</t>
  </si>
  <si>
    <t xml:space="preserve">Could use same developer for both</t>
  </si>
  <si>
    <t xml:space="preserve">Packaging Materials</t>
  </si>
  <si>
    <t xml:space="preserve">Mounting/Wiring (₦40k)</t>
  </si>
  <si>
    <t xml:space="preserve">Packaging (₦40k)</t>
  </si>
  <si>
    <t xml:space="preserve">Packaging (₦30k)</t>
  </si>
  <si>
    <t xml:space="preserve">₦30,000</t>
  </si>
  <si>
    <t xml:space="preserve">Could bulk purchase materials</t>
  </si>
  <si>
    <t xml:space="preserve">POTENTIAL TOTAL SAVINGS FROM CONSOLIDATION</t>
  </si>
  <si>
    <t xml:space="preserve">2. UNIQUE EQUIPMENT (No Redundancy - Required for Each Project)</t>
  </si>
  <si>
    <t xml:space="preserve">Equipment Category</t>
  </si>
  <si>
    <t xml:space="preserve">Project</t>
  </si>
  <si>
    <t xml:space="preserve">Key Components</t>
  </si>
  <si>
    <t xml:space="preserve">Total Cost</t>
  </si>
  <si>
    <t xml:space="preserve">Why Unique</t>
  </si>
  <si>
    <t xml:space="preserve">AI Vision System</t>
  </si>
  <si>
    <t xml:space="preserve">Camera, IR LEDs, RPi5</t>
  </si>
  <si>
    <t xml:space="preserve">₦185,000</t>
  </si>
  <si>
    <t xml:space="preserve">Security-specific surveillance hardware</t>
  </si>
  <si>
    <t xml:space="preserve">Water Quality Sensors</t>
  </si>
  <si>
    <t xml:space="preserve">pH, Temp, Turbidity, DO, Level</t>
  </si>
  <si>
    <t xml:space="preserve">₦482,000</t>
  </si>
  <si>
    <t xml:space="preserve">Aquaculture-specific water monitoring</t>
  </si>
  <si>
    <t xml:space="preserve">Feeding Mechanism</t>
  </si>
  <si>
    <t xml:space="preserve">Motor, RTC, 3D Parts</t>
  </si>
  <si>
    <t xml:space="preserve">₦48,500</t>
  </si>
  <si>
    <t xml:space="preserve">Mechanical feeding dispensing system</t>
  </si>
  <si>
    <t xml:space="preserve">LTE/Cellular Comm</t>
  </si>
  <si>
    <t xml:space="preserve">LTE Modem, SIM, Data</t>
  </si>
  <si>
    <t xml:space="preserve">₦87,000</t>
  </si>
  <si>
    <t xml:space="preserve">Remote surveillance requires cellular</t>
  </si>
  <si>
    <t xml:space="preserve">GSM Alerting</t>
  </si>
  <si>
    <t xml:space="preserve">GSM Module</t>
  </si>
  <si>
    <t xml:space="preserve">₦19,000</t>
  </si>
  <si>
    <t xml:space="preserve">SMS alerts for water quality</t>
  </si>
  <si>
    <t xml:space="preserve">WiFi Control</t>
  </si>
  <si>
    <t xml:space="preserve">ESP8266 WiFi</t>
  </si>
  <si>
    <t xml:space="preserve">₦4,500</t>
  </si>
  <si>
    <t xml:space="preserve">Local network feeding control</t>
  </si>
  <si>
    <t xml:space="preserve">3. COST OPTIMIZATION RECOMMENDATIONS</t>
  </si>
  <si>
    <t xml:space="preserve">Strategy</t>
  </si>
  <si>
    <t xml:space="preserve">Impact</t>
  </si>
  <si>
    <t xml:space="preserve">Savings</t>
  </si>
  <si>
    <t xml:space="preserve">Implementation</t>
  </si>
  <si>
    <t xml:space="preserve">Share Solar Power System</t>
  </si>
  <si>
    <t xml:space="preserve">If projects co-located</t>
  </si>
  <si>
    <t xml:space="preserve">Use single solar panel &amp; battery for P2 &amp; P3</t>
  </si>
  <si>
    <t xml:space="preserve">Consolidate Development</t>
  </si>
  <si>
    <t xml:space="preserve">Same developer for P2 &amp; P3</t>
  </si>
  <si>
    <t xml:space="preserve">Bundle embedded systems work</t>
  </si>
  <si>
    <t xml:space="preserve">Bulk Material Purchase</t>
  </si>
  <si>
    <t xml:space="preserve">Single order for all packaging</t>
  </si>
  <si>
    <t xml:space="preserve">Combined procurement of wires, enclosures</t>
  </si>
  <si>
    <t xml:space="preserve">Modular Design</t>
  </si>
  <si>
    <t xml:space="preserve">Shared PCB layouts</t>
  </si>
  <si>
    <t xml:space="preserve">₦20,000</t>
  </si>
  <si>
    <t xml:space="preserve">Reuse circuit designs across projects</t>
  </si>
  <si>
    <t xml:space="preserve">TOTAL OPTIMIZED SAVINGS</t>
  </si>
  <si>
    <t xml:space="preserve">₦180,000</t>
  </si>
  <si>
    <t xml:space="preserve">Reduces overall cost to ₦1,326,000</t>
  </si>
  <si>
    <t xml:space="preserve">PROJECT-BY-PROJECT COST COMPARISON</t>
  </si>
  <si>
    <t xml:space="preserve">Cost Category</t>
  </si>
  <si>
    <t xml:space="preserve">Project 1
Security</t>
  </si>
  <si>
    <t xml:space="preserve">Project 2
Water Quality</t>
  </si>
  <si>
    <t xml:space="preserve">Project 3
Feeding</t>
  </si>
  <si>
    <t xml:space="preserve">Total</t>
  </si>
  <si>
    <t xml:space="preserve">% of Budget</t>
  </si>
  <si>
    <t xml:space="preserve">Power Systems</t>
  </si>
  <si>
    <t xml:space="preserve">Computing Hardware</t>
  </si>
  <si>
    <t xml:space="preserve">Sensors &amp; Monitoring</t>
  </si>
  <si>
    <t xml:space="preserve">Communication Modules</t>
  </si>
  <si>
    <t xml:space="preserve">Display &amp; Alerts</t>
  </si>
  <si>
    <t xml:space="preserve">Structural &amp; Mounting</t>
  </si>
  <si>
    <t xml:space="preserve">Control &amp; Timing</t>
  </si>
  <si>
    <t xml:space="preserve">Materials &amp; Components</t>
  </si>
  <si>
    <t xml:space="preserve">Manufacturing</t>
  </si>
  <si>
    <t xml:space="preserve">Development Costs</t>
  </si>
  <si>
    <t xml:space="preserve">Optional Components</t>
  </si>
  <si>
    <t xml:space="preserve">SUBTOTAL (Base)</t>
  </si>
  <si>
    <t xml:space="preserve">100%</t>
  </si>
  <si>
    <t xml:space="preserve">With DO Sensor (P2)</t>
  </si>
  <si>
    <t xml:space="preserve">With Solar (P2)</t>
  </si>
  <si>
    <t xml:space="preserve">TOTAL (Recommended)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</si>
</sst>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₦#,##0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F72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color rgb="FFC00000"/>
      <name val="Arial"/>
      <family val="2"/>
      <charset val="1"/>
    </font>
    <font>
      <b val="true"/>
      <sz val="12"/>
      <color rgb="FF006600"/>
      <name val="Arial"/>
      <family val="2"/>
      <charset val="1"/>
    </font>
    <font>
      <b val="true"/>
      <sz val="12"/>
      <color rgb="FF2874A6"/>
      <name val="Arial"/>
      <family val="2"/>
      <charset val="1"/>
    </font>
    <font>
      <b val="true"/>
      <sz val="14"/>
      <color rgb="FF1B4F7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CCFFFF"/>
      </patternFill>
    </fill>
    <fill>
      <patternFill patternType="solid">
        <fgColor rgb="FFAED6F1"/>
        <bgColor rgb="FFCCCCFF"/>
      </patternFill>
    </fill>
    <fill>
      <patternFill patternType="solid">
        <fgColor rgb="FFFFE6E6"/>
        <bgColor rgb="FFFFFFFF"/>
      </patternFill>
    </fill>
    <fill>
      <patternFill patternType="solid">
        <fgColor rgb="FFFFEB9C"/>
        <bgColor rgb="FFFFCC99"/>
      </patternFill>
    </fill>
    <fill>
      <patternFill patternType="solid">
        <fgColor rgb="FF2874A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2874A6"/>
      <rgbColor rgb="FFC0C0C0"/>
      <rgbColor rgb="FF808080"/>
      <rgbColor rgb="FF9999FF"/>
      <rgbColor rgb="FF993366"/>
      <rgbColor rgb="FFFFE6E6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A69" activeCellId="0" sqref="A69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.17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10</v>
      </c>
      <c r="B6" s="7" t="n">
        <v>1</v>
      </c>
      <c r="C6" s="7" t="n">
        <v>0</v>
      </c>
      <c r="D6" s="7" t="n">
        <v>0</v>
      </c>
      <c r="E6" s="8" t="n">
        <v>50000</v>
      </c>
      <c r="F6" s="7" t="n">
        <f aca="false">B6</f>
        <v>1</v>
      </c>
      <c r="G6" s="8" t="n">
        <f aca="false">B6*E6</f>
        <v>50000</v>
      </c>
    </row>
    <row r="7" customFormat="false" ht="15" hidden="false" customHeight="false" outlineLevel="0" collapsed="false">
      <c r="A7" s="6" t="s">
        <v>11</v>
      </c>
      <c r="B7" s="7" t="n">
        <v>1</v>
      </c>
      <c r="C7" s="7" t="n">
        <v>0</v>
      </c>
      <c r="D7" s="7" t="n">
        <v>0</v>
      </c>
      <c r="E7" s="8" t="n">
        <v>55000</v>
      </c>
      <c r="F7" s="7" t="n">
        <f aca="false">B7</f>
        <v>1</v>
      </c>
      <c r="G7" s="8" t="n">
        <f aca="false">B7*E7</f>
        <v>55000</v>
      </c>
    </row>
    <row r="8" customFormat="false" ht="15" hidden="false" customHeight="false" outlineLevel="0" collapsed="false">
      <c r="A8" s="6" t="s">
        <v>12</v>
      </c>
      <c r="B8" s="7" t="n">
        <v>1</v>
      </c>
      <c r="C8" s="7" t="n">
        <v>0</v>
      </c>
      <c r="D8" s="7" t="n">
        <v>0</v>
      </c>
      <c r="E8" s="8" t="n">
        <v>140000</v>
      </c>
      <c r="F8" s="7" t="n">
        <f aca="false">B8</f>
        <v>1</v>
      </c>
      <c r="G8" s="8" t="n">
        <f aca="false">B8*E8</f>
        <v>140000</v>
      </c>
    </row>
    <row r="9" customFormat="false" ht="15" hidden="false" customHeight="false" outlineLevel="0" collapsed="false">
      <c r="A9" s="6" t="s">
        <v>13</v>
      </c>
      <c r="B9" s="7" t="n">
        <v>1</v>
      </c>
      <c r="C9" s="7" t="n">
        <v>0</v>
      </c>
      <c r="D9" s="7" t="n">
        <v>0</v>
      </c>
      <c r="E9" s="8" t="n">
        <v>20000</v>
      </c>
      <c r="F9" s="7" t="n">
        <f aca="false">B9</f>
        <v>1</v>
      </c>
      <c r="G9" s="8" t="n">
        <f aca="false">B9*E9</f>
        <v>20000</v>
      </c>
    </row>
    <row r="10" customFormat="false" ht="15" hidden="false" customHeight="false" outlineLevel="0" collapsed="false">
      <c r="A10" s="6" t="s">
        <v>14</v>
      </c>
      <c r="B10" s="7" t="n">
        <v>0</v>
      </c>
      <c r="C10" s="7" t="n">
        <v>0</v>
      </c>
      <c r="D10" s="7" t="n">
        <v>1</v>
      </c>
      <c r="E10" s="8" t="n">
        <v>9000</v>
      </c>
      <c r="F10" s="7" t="n">
        <f aca="false">D10</f>
        <v>1</v>
      </c>
      <c r="G10" s="8" t="n">
        <f aca="false">D10*E10</f>
        <v>9000</v>
      </c>
    </row>
    <row r="11" customFormat="false" ht="15" hidden="false" customHeight="false" outlineLevel="0" collapsed="false">
      <c r="A11" s="6" t="s">
        <v>15</v>
      </c>
      <c r="B11" s="7" t="n">
        <v>0</v>
      </c>
      <c r="C11" s="7" t="n">
        <v>1</v>
      </c>
      <c r="D11" s="7" t="n">
        <v>0</v>
      </c>
      <c r="E11" s="8" t="n">
        <v>60000</v>
      </c>
      <c r="F11" s="7" t="n">
        <f aca="false">C11</f>
        <v>1</v>
      </c>
      <c r="G11" s="8" t="n">
        <f aca="false">C11*E11</f>
        <v>60000</v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 t="s">
        <v>16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6" t="s">
        <v>17</v>
      </c>
      <c r="B14" s="7" t="n">
        <v>1</v>
      </c>
      <c r="C14" s="7" t="n">
        <v>0</v>
      </c>
      <c r="D14" s="7" t="n">
        <v>0</v>
      </c>
      <c r="E14" s="8" t="n">
        <v>160000</v>
      </c>
      <c r="F14" s="7" t="n">
        <f aca="false">B14</f>
        <v>1</v>
      </c>
      <c r="G14" s="8" t="n">
        <f aca="false">B14*E14</f>
        <v>160000</v>
      </c>
    </row>
    <row r="15" customFormat="false" ht="15" hidden="false" customHeight="false" outlineLevel="0" collapsed="false">
      <c r="A15" s="6" t="s">
        <v>18</v>
      </c>
      <c r="B15" s="7" t="n">
        <v>0</v>
      </c>
      <c r="C15" s="7" t="n">
        <v>1</v>
      </c>
      <c r="D15" s="7" t="n">
        <v>0</v>
      </c>
      <c r="E15" s="8" t="n">
        <v>49500</v>
      </c>
      <c r="F15" s="7" t="n">
        <f aca="false">C15</f>
        <v>1</v>
      </c>
      <c r="G15" s="8" t="n">
        <f aca="false">C15*E15</f>
        <v>49500</v>
      </c>
    </row>
    <row r="16" customFormat="false" ht="15" hidden="false" customHeight="false" outlineLevel="0" collapsed="false">
      <c r="A16" s="6" t="s">
        <v>19</v>
      </c>
      <c r="B16" s="7" t="n">
        <v>0</v>
      </c>
      <c r="C16" s="7" t="n">
        <v>0</v>
      </c>
      <c r="D16" s="7" t="n">
        <v>1</v>
      </c>
      <c r="E16" s="8" t="n">
        <v>9000</v>
      </c>
      <c r="F16" s="7" t="n">
        <f aca="false">D16</f>
        <v>1</v>
      </c>
      <c r="G16" s="8" t="n">
        <f aca="false">D16*E16</f>
        <v>9000</v>
      </c>
    </row>
    <row r="17" customFormat="false" ht="15" hidden="false" customHeight="false" outlineLevel="0" collapsed="false">
      <c r="A17" s="6" t="s">
        <v>20</v>
      </c>
      <c r="B17" s="7" t="n">
        <v>1</v>
      </c>
      <c r="C17" s="7" t="n">
        <v>0</v>
      </c>
      <c r="D17" s="7" t="n">
        <v>0</v>
      </c>
      <c r="E17" s="8" t="n">
        <v>25000</v>
      </c>
      <c r="F17" s="7" t="n">
        <f aca="false">B17</f>
        <v>1</v>
      </c>
      <c r="G17" s="8" t="n">
        <f aca="false">B17*E17</f>
        <v>25000</v>
      </c>
    </row>
    <row r="18" customFormat="false" ht="15" hidden="false" customHeight="false" outlineLevel="0" collapsed="false">
      <c r="A18" s="6" t="s">
        <v>21</v>
      </c>
      <c r="B18" s="7" t="n">
        <v>1</v>
      </c>
      <c r="C18" s="7" t="n">
        <v>0</v>
      </c>
      <c r="D18" s="7" t="n">
        <v>0</v>
      </c>
      <c r="E18" s="8" t="n">
        <v>25000</v>
      </c>
      <c r="F18" s="7" t="n">
        <f aca="false">B18</f>
        <v>1</v>
      </c>
      <c r="G18" s="8" t="n">
        <f aca="false">B18*E18</f>
        <v>25000</v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 t="s">
        <v>22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6" t="s">
        <v>23</v>
      </c>
      <c r="B21" s="7" t="n">
        <v>1</v>
      </c>
      <c r="C21" s="7" t="n">
        <v>0</v>
      </c>
      <c r="D21" s="7" t="n">
        <v>0</v>
      </c>
      <c r="E21" s="8" t="n">
        <v>40000</v>
      </c>
      <c r="F21" s="7" t="n">
        <f aca="false">B21</f>
        <v>1</v>
      </c>
      <c r="G21" s="8" t="n">
        <f aca="false">B21*E21</f>
        <v>40000</v>
      </c>
    </row>
    <row r="22" customFormat="false" ht="15" hidden="false" customHeight="false" outlineLevel="0" collapsed="false">
      <c r="A22" s="6" t="s">
        <v>24</v>
      </c>
      <c r="B22" s="7" t="n">
        <v>1</v>
      </c>
      <c r="C22" s="7" t="n">
        <v>0</v>
      </c>
      <c r="D22" s="7" t="n">
        <v>0</v>
      </c>
      <c r="E22" s="8" t="n">
        <v>25000</v>
      </c>
      <c r="F22" s="7" t="n">
        <f aca="false">B22</f>
        <v>1</v>
      </c>
      <c r="G22" s="8" t="n">
        <f aca="false">B22*E22</f>
        <v>25000</v>
      </c>
    </row>
    <row r="23" customFormat="false" ht="15" hidden="false" customHeight="false" outlineLevel="0" collapsed="false">
      <c r="A23" s="6" t="s">
        <v>25</v>
      </c>
      <c r="B23" s="7" t="n">
        <v>1</v>
      </c>
      <c r="C23" s="7" t="n">
        <v>0</v>
      </c>
      <c r="D23" s="7" t="n">
        <v>0</v>
      </c>
      <c r="E23" s="8" t="n">
        <v>8000</v>
      </c>
      <c r="F23" s="7" t="n">
        <f aca="false">B23</f>
        <v>1</v>
      </c>
      <c r="G23" s="8" t="n">
        <f aca="false">B23*E23</f>
        <v>8000</v>
      </c>
    </row>
    <row r="24" customFormat="false" ht="15" hidden="false" customHeight="false" outlineLevel="0" collapsed="false">
      <c r="A24" s="6" t="s">
        <v>26</v>
      </c>
      <c r="B24" s="7" t="n">
        <v>0</v>
      </c>
      <c r="C24" s="7" t="n">
        <v>1</v>
      </c>
      <c r="D24" s="7" t="n">
        <v>0</v>
      </c>
      <c r="E24" s="8" t="n">
        <v>65000</v>
      </c>
      <c r="F24" s="7" t="n">
        <f aca="false">C24</f>
        <v>1</v>
      </c>
      <c r="G24" s="8" t="n">
        <f aca="false">C24*E24</f>
        <v>65000</v>
      </c>
    </row>
    <row r="25" customFormat="false" ht="15" hidden="false" customHeight="false" outlineLevel="0" collapsed="false">
      <c r="A25" s="6" t="s">
        <v>27</v>
      </c>
      <c r="B25" s="7" t="n">
        <v>0</v>
      </c>
      <c r="C25" s="7" t="n">
        <v>1</v>
      </c>
      <c r="D25" s="7" t="n">
        <v>0</v>
      </c>
      <c r="E25" s="8" t="n">
        <v>12000</v>
      </c>
      <c r="F25" s="7" t="n">
        <f aca="false">C25</f>
        <v>1</v>
      </c>
      <c r="G25" s="8" t="n">
        <f aca="false">C25*E25</f>
        <v>12000</v>
      </c>
    </row>
    <row r="26" customFormat="false" ht="15" hidden="false" customHeight="false" outlineLevel="0" collapsed="false">
      <c r="A26" s="6" t="s">
        <v>28</v>
      </c>
      <c r="B26" s="7" t="n">
        <v>0</v>
      </c>
      <c r="C26" s="7" t="n">
        <v>1</v>
      </c>
      <c r="D26" s="7" t="n">
        <v>0</v>
      </c>
      <c r="E26" s="8" t="n">
        <v>35000</v>
      </c>
      <c r="F26" s="7" t="n">
        <f aca="false">C26</f>
        <v>1</v>
      </c>
      <c r="G26" s="8" t="n">
        <f aca="false">C26*E26</f>
        <v>35000</v>
      </c>
    </row>
    <row r="27" customFormat="false" ht="15" hidden="false" customHeight="false" outlineLevel="0" collapsed="false">
      <c r="A27" s="6" t="s">
        <v>29</v>
      </c>
      <c r="B27" s="7" t="n">
        <v>0</v>
      </c>
      <c r="C27" s="7" t="n">
        <v>1</v>
      </c>
      <c r="D27" s="7" t="n">
        <v>0</v>
      </c>
      <c r="E27" s="8" t="n">
        <v>20000</v>
      </c>
      <c r="F27" s="7" t="n">
        <f aca="false">C27</f>
        <v>1</v>
      </c>
      <c r="G27" s="8" t="n">
        <f aca="false">C27*E27</f>
        <v>20000</v>
      </c>
    </row>
    <row r="28" customFormat="false" ht="15" hidden="false" customHeight="false" outlineLevel="0" collapsed="false">
      <c r="A28" s="6" t="s">
        <v>30</v>
      </c>
      <c r="B28" s="7" t="n">
        <v>0</v>
      </c>
      <c r="C28" s="7" t="n">
        <v>1</v>
      </c>
      <c r="D28" s="7" t="n">
        <v>0</v>
      </c>
      <c r="E28" s="8" t="n">
        <v>350000</v>
      </c>
      <c r="F28" s="7" t="n">
        <f aca="false">C28</f>
        <v>1</v>
      </c>
      <c r="G28" s="8" t="n">
        <f aca="false">C28*E28</f>
        <v>350000</v>
      </c>
    </row>
    <row r="29" customFormat="false" ht="15" hidden="false" customHeight="false" outlineLevel="0" collapsed="false">
      <c r="A29" s="6" t="s">
        <v>31</v>
      </c>
      <c r="B29" s="7" t="n">
        <v>0</v>
      </c>
      <c r="C29" s="7" t="n">
        <v>0</v>
      </c>
      <c r="D29" s="7" t="n">
        <v>1</v>
      </c>
      <c r="E29" s="8" t="n">
        <v>2000</v>
      </c>
      <c r="F29" s="7" t="n">
        <f aca="false">D29</f>
        <v>1</v>
      </c>
      <c r="G29" s="8" t="n">
        <f aca="false">D29*E29</f>
        <v>2000</v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5" t="s">
        <v>32</v>
      </c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6" t="s">
        <v>33</v>
      </c>
      <c r="B32" s="7" t="n">
        <v>1</v>
      </c>
      <c r="C32" s="7" t="n">
        <v>0</v>
      </c>
      <c r="D32" s="7" t="n">
        <v>0</v>
      </c>
      <c r="E32" s="8" t="n">
        <v>70000</v>
      </c>
      <c r="F32" s="7" t="n">
        <f aca="false">B32</f>
        <v>1</v>
      </c>
      <c r="G32" s="8" t="n">
        <f aca="false">B32*E32</f>
        <v>70000</v>
      </c>
    </row>
    <row r="33" customFormat="false" ht="15" hidden="false" customHeight="false" outlineLevel="0" collapsed="false">
      <c r="A33" s="6" t="s">
        <v>34</v>
      </c>
      <c r="B33" s="7" t="n">
        <v>1</v>
      </c>
      <c r="C33" s="7" t="n">
        <v>0</v>
      </c>
      <c r="D33" s="7" t="n">
        <v>0</v>
      </c>
      <c r="E33" s="8" t="n">
        <v>2000</v>
      </c>
      <c r="F33" s="7" t="n">
        <f aca="false">B33</f>
        <v>1</v>
      </c>
      <c r="G33" s="8" t="n">
        <f aca="false">B33*E33</f>
        <v>2000</v>
      </c>
    </row>
    <row r="34" customFormat="false" ht="15" hidden="false" customHeight="false" outlineLevel="0" collapsed="false">
      <c r="A34" s="6" t="s">
        <v>35</v>
      </c>
      <c r="B34" s="7" t="n">
        <v>1</v>
      </c>
      <c r="C34" s="7" t="n">
        <v>0</v>
      </c>
      <c r="D34" s="7" t="n">
        <v>0</v>
      </c>
      <c r="E34" s="8" t="n">
        <v>15000</v>
      </c>
      <c r="F34" s="7" t="n">
        <f aca="false">B34</f>
        <v>1</v>
      </c>
      <c r="G34" s="8" t="n">
        <f aca="false">B34*E34</f>
        <v>15000</v>
      </c>
    </row>
    <row r="35" customFormat="false" ht="15" hidden="false" customHeight="false" outlineLevel="0" collapsed="false">
      <c r="A35" s="6" t="s">
        <v>36</v>
      </c>
      <c r="B35" s="7" t="n">
        <v>0</v>
      </c>
      <c r="C35" s="7" t="n">
        <v>1</v>
      </c>
      <c r="D35" s="7" t="n">
        <v>0</v>
      </c>
      <c r="E35" s="8" t="n">
        <v>19000</v>
      </c>
      <c r="F35" s="7" t="n">
        <f aca="false">C35</f>
        <v>1</v>
      </c>
      <c r="G35" s="8" t="n">
        <f aca="false">C35*E35</f>
        <v>19000</v>
      </c>
    </row>
    <row r="36" customFormat="false" ht="15" hidden="false" customHeight="false" outlineLevel="0" collapsed="false">
      <c r="A36" s="6" t="s">
        <v>37</v>
      </c>
      <c r="B36" s="7" t="n">
        <v>0</v>
      </c>
      <c r="C36" s="7" t="n">
        <v>0</v>
      </c>
      <c r="D36" s="7" t="n">
        <v>1</v>
      </c>
      <c r="E36" s="8" t="n">
        <v>4500</v>
      </c>
      <c r="F36" s="7" t="n">
        <f aca="false">D36</f>
        <v>1</v>
      </c>
      <c r="G36" s="8" t="n">
        <f aca="false">D36*E36</f>
        <v>4500</v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5" t="s">
        <v>38</v>
      </c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6" t="s">
        <v>39</v>
      </c>
      <c r="B39" s="7" t="n">
        <v>0</v>
      </c>
      <c r="C39" s="7" t="n">
        <v>0</v>
      </c>
      <c r="D39" s="7" t="n">
        <v>1</v>
      </c>
      <c r="E39" s="8" t="n">
        <v>2500</v>
      </c>
      <c r="F39" s="7" t="n">
        <f aca="false">D39</f>
        <v>1</v>
      </c>
      <c r="G39" s="8" t="n">
        <f aca="false">D39*E39</f>
        <v>2500</v>
      </c>
    </row>
    <row r="40" customFormat="false" ht="15" hidden="false" customHeight="false" outlineLevel="0" collapsed="false">
      <c r="A40" s="6" t="s">
        <v>40</v>
      </c>
      <c r="B40" s="7" t="n">
        <v>0</v>
      </c>
      <c r="C40" s="7" t="n">
        <v>0</v>
      </c>
      <c r="D40" s="7" t="n">
        <v>1</v>
      </c>
      <c r="E40" s="8" t="n">
        <v>2000</v>
      </c>
      <c r="F40" s="7" t="n">
        <f aca="false">D40</f>
        <v>1</v>
      </c>
      <c r="G40" s="8" t="n">
        <f aca="false">D40*E40</f>
        <v>2000</v>
      </c>
    </row>
    <row r="41" customFormat="false" ht="15" hidden="false" customHeight="false" outlineLevel="0" collapsed="false">
      <c r="A41" s="6" t="s">
        <v>41</v>
      </c>
      <c r="B41" s="7" t="n">
        <v>0</v>
      </c>
      <c r="C41" s="7" t="n">
        <v>0</v>
      </c>
      <c r="D41" s="7" t="n">
        <v>1</v>
      </c>
      <c r="E41" s="8" t="n">
        <v>5000</v>
      </c>
      <c r="F41" s="7" t="n">
        <f aca="false">D41</f>
        <v>1</v>
      </c>
      <c r="G41" s="8" t="n">
        <f aca="false">D41*E41</f>
        <v>5000</v>
      </c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</row>
    <row r="43" customFormat="false" ht="15" hidden="false" customHeight="false" outlineLevel="0" collapsed="false">
      <c r="A43" s="5" t="s">
        <v>42</v>
      </c>
      <c r="B43" s="5"/>
      <c r="C43" s="5"/>
      <c r="D43" s="5"/>
      <c r="E43" s="5"/>
      <c r="F43" s="5"/>
      <c r="G43" s="5"/>
    </row>
    <row r="44" customFormat="false" ht="15" hidden="false" customHeight="false" outlineLevel="0" collapsed="false">
      <c r="A44" s="6" t="s">
        <v>43</v>
      </c>
      <c r="B44" s="7" t="n">
        <v>0</v>
      </c>
      <c r="C44" s="7" t="n">
        <v>1</v>
      </c>
      <c r="D44" s="7" t="n">
        <v>0</v>
      </c>
      <c r="E44" s="8" t="n">
        <v>9500</v>
      </c>
      <c r="F44" s="7" t="n">
        <f aca="false">C44</f>
        <v>1</v>
      </c>
      <c r="G44" s="8" t="n">
        <f aca="false">C44*E44</f>
        <v>9500</v>
      </c>
    </row>
    <row r="45" customFormat="false" ht="15" hidden="false" customHeight="false" outlineLevel="0" collapsed="false">
      <c r="A45" s="6" t="s">
        <v>44</v>
      </c>
      <c r="B45" s="7" t="n">
        <v>0</v>
      </c>
      <c r="C45" s="7" t="n">
        <v>1</v>
      </c>
      <c r="D45" s="7" t="n">
        <v>0</v>
      </c>
      <c r="E45" s="8" t="n">
        <v>5000</v>
      </c>
      <c r="F45" s="7" t="n">
        <f aca="false">C45</f>
        <v>1</v>
      </c>
      <c r="G45" s="8" t="n">
        <f aca="false">C45*E45</f>
        <v>5000</v>
      </c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</row>
    <row r="47" customFormat="false" ht="15" hidden="false" customHeight="false" outlineLevel="0" collapsed="false">
      <c r="A47" s="5" t="s">
        <v>45</v>
      </c>
      <c r="B47" s="5"/>
      <c r="C47" s="5"/>
      <c r="D47" s="5"/>
      <c r="E47" s="5"/>
      <c r="F47" s="5"/>
      <c r="G47" s="5"/>
    </row>
    <row r="48" customFormat="false" ht="15" hidden="false" customHeight="false" outlineLevel="0" collapsed="false">
      <c r="A48" s="6" t="s">
        <v>46</v>
      </c>
      <c r="B48" s="7" t="n">
        <v>1</v>
      </c>
      <c r="C48" s="7" t="n">
        <v>0</v>
      </c>
      <c r="D48" s="7" t="n">
        <v>0</v>
      </c>
      <c r="E48" s="8" t="n">
        <v>60000</v>
      </c>
      <c r="F48" s="7" t="n">
        <f aca="false">B48</f>
        <v>1</v>
      </c>
      <c r="G48" s="8" t="n">
        <f aca="false">B48*E48</f>
        <v>60000</v>
      </c>
    </row>
    <row r="49" customFormat="false" ht="15" hidden="false" customHeight="false" outlineLevel="0" collapsed="false">
      <c r="A49" s="6" t="s">
        <v>47</v>
      </c>
      <c r="B49" s="7" t="n">
        <v>1</v>
      </c>
      <c r="C49" s="7" t="n">
        <v>0</v>
      </c>
      <c r="D49" s="7" t="n">
        <v>0</v>
      </c>
      <c r="E49" s="8" t="n">
        <v>40000</v>
      </c>
      <c r="F49" s="7" t="n">
        <f aca="false">B49</f>
        <v>1</v>
      </c>
      <c r="G49" s="8" t="n">
        <f aca="false">B49*E49</f>
        <v>40000</v>
      </c>
    </row>
    <row r="50" customFormat="false" ht="15" hidden="false" customHeight="false" outlineLevel="0" collapsed="false">
      <c r="A50" s="6" t="s">
        <v>48</v>
      </c>
      <c r="B50" s="7" t="n">
        <v>1</v>
      </c>
      <c r="C50" s="7" t="n">
        <v>0</v>
      </c>
      <c r="D50" s="7" t="n">
        <v>0</v>
      </c>
      <c r="E50" s="8" t="n">
        <v>20000</v>
      </c>
      <c r="F50" s="7" t="n">
        <f aca="false">B50</f>
        <v>1</v>
      </c>
      <c r="G50" s="8" t="n">
        <f aca="false">B50*E50</f>
        <v>20000</v>
      </c>
    </row>
    <row r="51" customFormat="false" ht="15" hidden="false" customHeight="false" outlineLevel="0" collapsed="false">
      <c r="A51" s="6" t="s">
        <v>49</v>
      </c>
      <c r="B51" s="7" t="n">
        <v>1</v>
      </c>
      <c r="C51" s="7" t="n">
        <v>0</v>
      </c>
      <c r="D51" s="7" t="n">
        <v>0</v>
      </c>
      <c r="E51" s="8" t="n">
        <v>50000</v>
      </c>
      <c r="F51" s="7" t="n">
        <f aca="false">B51</f>
        <v>1</v>
      </c>
      <c r="G51" s="8" t="n">
        <f aca="false">B51*E51</f>
        <v>50000</v>
      </c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</row>
    <row r="53" customFormat="false" ht="15" hidden="false" customHeight="false" outlineLevel="0" collapsed="false">
      <c r="A53" s="5" t="s">
        <v>50</v>
      </c>
      <c r="B53" s="5"/>
      <c r="C53" s="5"/>
      <c r="D53" s="5"/>
      <c r="E53" s="5"/>
      <c r="F53" s="5"/>
      <c r="G53" s="5"/>
    </row>
    <row r="54" customFormat="false" ht="15" hidden="false" customHeight="false" outlineLevel="0" collapsed="false">
      <c r="A54" s="6" t="s">
        <v>51</v>
      </c>
      <c r="B54" s="7" t="n">
        <v>0</v>
      </c>
      <c r="C54" s="7" t="n">
        <v>0</v>
      </c>
      <c r="D54" s="7" t="n">
        <v>1</v>
      </c>
      <c r="E54" s="8" t="n">
        <v>22000</v>
      </c>
      <c r="F54" s="7" t="n">
        <f aca="false">D54</f>
        <v>1</v>
      </c>
      <c r="G54" s="8" t="n">
        <f aca="false">D54*E54</f>
        <v>22000</v>
      </c>
    </row>
    <row r="55" customFormat="false" ht="15" hidden="false" customHeight="false" outlineLevel="0" collapsed="false">
      <c r="A55" s="6" t="s">
        <v>52</v>
      </c>
      <c r="B55" s="7" t="n">
        <v>0</v>
      </c>
      <c r="C55" s="7" t="n">
        <v>1</v>
      </c>
      <c r="D55" s="7" t="n">
        <v>0</v>
      </c>
      <c r="E55" s="8" t="n">
        <v>40000</v>
      </c>
      <c r="F55" s="7" t="n">
        <f aca="false">C55</f>
        <v>1</v>
      </c>
      <c r="G55" s="8" t="n">
        <f aca="false">C55*E55</f>
        <v>40000</v>
      </c>
    </row>
    <row r="56" customFormat="false" ht="15" hidden="false" customHeight="false" outlineLevel="0" collapsed="false">
      <c r="A56" s="6" t="s">
        <v>53</v>
      </c>
      <c r="B56" s="7" t="n">
        <v>0</v>
      </c>
      <c r="C56" s="7" t="n">
        <v>0</v>
      </c>
      <c r="D56" s="7" t="n">
        <v>1</v>
      </c>
      <c r="E56" s="8" t="n">
        <v>30000</v>
      </c>
      <c r="F56" s="7" t="n">
        <f aca="false">D56</f>
        <v>1</v>
      </c>
      <c r="G56" s="8" t="n">
        <f aca="false">D56*E56</f>
        <v>30000</v>
      </c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</row>
    <row r="58" customFormat="false" ht="15" hidden="false" customHeight="false" outlineLevel="0" collapsed="false">
      <c r="A58" s="5" t="s">
        <v>54</v>
      </c>
      <c r="B58" s="5"/>
      <c r="C58" s="5"/>
      <c r="D58" s="5"/>
      <c r="E58" s="5"/>
      <c r="F58" s="5"/>
      <c r="G58" s="5"/>
    </row>
    <row r="59" customFormat="false" ht="15" hidden="false" customHeight="false" outlineLevel="0" collapsed="false">
      <c r="A59" s="6" t="s">
        <v>55</v>
      </c>
      <c r="B59" s="7" t="n">
        <v>0</v>
      </c>
      <c r="C59" s="7" t="n">
        <v>0</v>
      </c>
      <c r="D59" s="7" t="n">
        <v>1</v>
      </c>
      <c r="E59" s="8" t="n">
        <v>15000</v>
      </c>
      <c r="F59" s="7" t="n">
        <f aca="false">D59</f>
        <v>1</v>
      </c>
      <c r="G59" s="8" t="n">
        <f aca="false">D59*E59</f>
        <v>15000</v>
      </c>
    </row>
    <row r="60" customFormat="false" ht="15" hidden="false" customHeight="false" outlineLevel="0" collapsed="false">
      <c r="A60" s="6" t="s">
        <v>56</v>
      </c>
      <c r="B60" s="7" t="n">
        <v>0</v>
      </c>
      <c r="C60" s="7" t="n">
        <v>0</v>
      </c>
      <c r="D60" s="7" t="n">
        <v>1</v>
      </c>
      <c r="E60" s="8" t="n">
        <v>30000</v>
      </c>
      <c r="F60" s="7" t="n">
        <f aca="false">D60</f>
        <v>1</v>
      </c>
      <c r="G60" s="8" t="n">
        <f aca="false">D60*E60</f>
        <v>30000</v>
      </c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</row>
    <row r="62" customFormat="false" ht="15" hidden="false" customHeight="false" outlineLevel="0" collapsed="false">
      <c r="A62" s="5" t="s">
        <v>57</v>
      </c>
      <c r="B62" s="5"/>
      <c r="C62" s="5"/>
      <c r="D62" s="5"/>
      <c r="E62" s="5"/>
      <c r="F62" s="5"/>
      <c r="G62" s="5"/>
    </row>
    <row r="63" customFormat="false" ht="15" hidden="false" customHeight="false" outlineLevel="0" collapsed="false">
      <c r="A63" s="6" t="s">
        <v>58</v>
      </c>
      <c r="B63" s="7" t="n">
        <v>0</v>
      </c>
      <c r="C63" s="7" t="n">
        <v>1</v>
      </c>
      <c r="D63" s="7" t="n">
        <v>0</v>
      </c>
      <c r="E63" s="8" t="n">
        <v>120000</v>
      </c>
      <c r="F63" s="7" t="n">
        <f aca="false">C63</f>
        <v>1</v>
      </c>
      <c r="G63" s="8" t="n">
        <f aca="false">C63*E63</f>
        <v>120000</v>
      </c>
    </row>
    <row r="64" customFormat="false" ht="15" hidden="false" customHeight="false" outlineLevel="0" collapsed="false">
      <c r="A64" s="6" t="s">
        <v>59</v>
      </c>
      <c r="B64" s="7" t="n">
        <v>0</v>
      </c>
      <c r="C64" s="7" t="n">
        <v>0</v>
      </c>
      <c r="D64" s="7" t="n">
        <v>1</v>
      </c>
      <c r="E64" s="8" t="n">
        <v>100000</v>
      </c>
      <c r="F64" s="7" t="n">
        <f aca="false">D64</f>
        <v>1</v>
      </c>
      <c r="G64" s="8" t="n">
        <f aca="false">D64*E64</f>
        <v>100000</v>
      </c>
    </row>
    <row r="65" customFormat="false" ht="15" hidden="false" customHeight="false" outlineLevel="0" collapsed="false">
      <c r="A65" s="6" t="s">
        <v>60</v>
      </c>
      <c r="B65" s="7" t="n">
        <v>0</v>
      </c>
      <c r="C65" s="7" t="n">
        <v>0</v>
      </c>
      <c r="D65" s="7" t="n">
        <v>1</v>
      </c>
      <c r="E65" s="8" t="n">
        <v>40000</v>
      </c>
      <c r="F65" s="7" t="n">
        <f aca="false">D65</f>
        <v>1</v>
      </c>
      <c r="G65" s="8" t="n">
        <f aca="false">D65*E65</f>
        <v>40000</v>
      </c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</row>
    <row r="67" customFormat="false" ht="15" hidden="false" customHeight="false" outlineLevel="0" collapsed="false">
      <c r="A67" s="5" t="s">
        <v>61</v>
      </c>
      <c r="B67" s="5"/>
      <c r="C67" s="5"/>
      <c r="D67" s="5"/>
      <c r="E67" s="5"/>
      <c r="F67" s="5"/>
      <c r="G67" s="5"/>
    </row>
    <row r="68" customFormat="false" ht="15" hidden="false" customHeight="false" outlineLevel="0" collapsed="false">
      <c r="A68" s="6" t="s">
        <v>62</v>
      </c>
      <c r="B68" s="7" t="n">
        <v>1</v>
      </c>
      <c r="C68" s="7" t="n">
        <v>0</v>
      </c>
      <c r="D68" s="7" t="n">
        <v>0</v>
      </c>
      <c r="E68" s="8" t="n">
        <v>80000</v>
      </c>
      <c r="F68" s="7" t="n">
        <f aca="false">B68</f>
        <v>1</v>
      </c>
      <c r="G68" s="8" t="n">
        <f aca="false">B68*E68</f>
        <v>80000</v>
      </c>
    </row>
    <row r="69" customFormat="false" ht="15" hidden="false" customHeight="false" outlineLevel="0" collapsed="false">
      <c r="A69" s="6" t="s">
        <v>63</v>
      </c>
      <c r="B69" s="7" t="n">
        <v>1</v>
      </c>
      <c r="C69" s="7" t="n">
        <v>0</v>
      </c>
      <c r="D69" s="7" t="n">
        <v>0</v>
      </c>
      <c r="E69" s="8" t="n">
        <v>25000</v>
      </c>
      <c r="F69" s="7" t="n">
        <f aca="false">B69</f>
        <v>1</v>
      </c>
      <c r="G69" s="8" t="n">
        <f aca="false">B69*E69</f>
        <v>25000</v>
      </c>
    </row>
    <row r="71" customFormat="false" ht="15" hidden="false" customHeight="false" outlineLevel="0" collapsed="false">
      <c r="A71" s="9" t="s">
        <v>64</v>
      </c>
      <c r="B71" s="10"/>
      <c r="C71" s="10"/>
      <c r="D71" s="10"/>
      <c r="E71" s="10"/>
      <c r="F71" s="10"/>
      <c r="G71" s="11" t="n">
        <f aca="false">SUM(G5:G70)</f>
        <v>1966000</v>
      </c>
    </row>
  </sheetData>
  <mergeCells count="23">
    <mergeCell ref="A1:G1"/>
    <mergeCell ref="A2:G2"/>
    <mergeCell ref="A5:G5"/>
    <mergeCell ref="A12:G12"/>
    <mergeCell ref="A13:G13"/>
    <mergeCell ref="A19:G19"/>
    <mergeCell ref="A20:G20"/>
    <mergeCell ref="A30:G30"/>
    <mergeCell ref="A31:G31"/>
    <mergeCell ref="A37:G37"/>
    <mergeCell ref="A38:G38"/>
    <mergeCell ref="A42:G42"/>
    <mergeCell ref="A43:G43"/>
    <mergeCell ref="A46:G46"/>
    <mergeCell ref="A47:G47"/>
    <mergeCell ref="A52:G52"/>
    <mergeCell ref="A53:G53"/>
    <mergeCell ref="A57:G57"/>
    <mergeCell ref="A58:G58"/>
    <mergeCell ref="A61:G61"/>
    <mergeCell ref="A62:G62"/>
    <mergeCell ref="A66:G66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6" min="5" style="1" width="18"/>
    <col collapsed="false" customWidth="true" hidden="false" outlineLevel="0" max="7" min="7" style="1" width="35"/>
  </cols>
  <sheetData>
    <row r="1" customFormat="false" ht="24.75" hidden="false" customHeight="true" outlineLevel="0" collapsed="false">
      <c r="A1" s="2" t="s">
        <v>65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66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2" t="s">
        <v>67</v>
      </c>
      <c r="B4" s="12"/>
      <c r="C4" s="12"/>
      <c r="D4" s="12"/>
      <c r="E4" s="12"/>
      <c r="F4" s="12"/>
      <c r="G4" s="12"/>
    </row>
    <row r="5" customFormat="false" ht="15" hidden="false" customHeight="false" outlineLevel="0" collapsed="false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</row>
    <row r="6" customFormat="false" ht="15" hidden="false" customHeight="false" outlineLevel="0" collapsed="false">
      <c r="A6" s="13" t="s">
        <v>75</v>
      </c>
      <c r="B6" s="14" t="s">
        <v>76</v>
      </c>
      <c r="C6" s="14" t="s">
        <v>77</v>
      </c>
      <c r="D6" s="14" t="s">
        <v>78</v>
      </c>
      <c r="E6" s="15" t="n">
        <f aca="false">160000+49500+9000</f>
        <v>218500</v>
      </c>
      <c r="F6" s="16" t="s">
        <v>79</v>
      </c>
      <c r="G6" s="13" t="s">
        <v>80</v>
      </c>
    </row>
    <row r="7" customFormat="false" ht="15" hidden="false" customHeight="false" outlineLevel="0" collapsed="false">
      <c r="A7" s="13" t="s">
        <v>81</v>
      </c>
      <c r="B7" s="14" t="s">
        <v>82</v>
      </c>
      <c r="C7" s="14" t="s">
        <v>83</v>
      </c>
      <c r="D7" s="14" t="s">
        <v>84</v>
      </c>
      <c r="E7" s="15" t="n">
        <f aca="false">70000+19000+4500</f>
        <v>93500</v>
      </c>
      <c r="F7" s="16" t="s">
        <v>79</v>
      </c>
      <c r="G7" s="13" t="s">
        <v>85</v>
      </c>
    </row>
    <row r="8" customFormat="false" ht="15" hidden="false" customHeight="false" outlineLevel="0" collapsed="false">
      <c r="A8" s="13" t="s">
        <v>86</v>
      </c>
      <c r="B8" s="14" t="s">
        <v>87</v>
      </c>
      <c r="C8" s="14" t="s">
        <v>88</v>
      </c>
      <c r="D8" s="14" t="s">
        <v>89</v>
      </c>
      <c r="E8" s="15" t="n">
        <f aca="false">50000+55000+140000+60000+9000</f>
        <v>314000</v>
      </c>
      <c r="F8" s="16" t="s">
        <v>90</v>
      </c>
      <c r="G8" s="13" t="s">
        <v>91</v>
      </c>
    </row>
    <row r="9" customFormat="false" ht="15" hidden="false" customHeight="false" outlineLevel="0" collapsed="false">
      <c r="A9" s="13" t="s">
        <v>92</v>
      </c>
      <c r="B9" s="14" t="s">
        <v>93</v>
      </c>
      <c r="C9" s="14" t="s">
        <v>94</v>
      </c>
      <c r="D9" s="14" t="s">
        <v>95</v>
      </c>
      <c r="E9" s="15" t="n">
        <f aca="false">120000+100000</f>
        <v>220000</v>
      </c>
      <c r="F9" s="16" t="s">
        <v>96</v>
      </c>
      <c r="G9" s="13" t="s">
        <v>97</v>
      </c>
    </row>
    <row r="10" customFormat="false" ht="15" hidden="false" customHeight="false" outlineLevel="0" collapsed="false">
      <c r="A10" s="13" t="s">
        <v>98</v>
      </c>
      <c r="B10" s="14" t="s">
        <v>99</v>
      </c>
      <c r="C10" s="14" t="s">
        <v>100</v>
      </c>
      <c r="D10" s="14" t="s">
        <v>101</v>
      </c>
      <c r="E10" s="15" t="n">
        <f aca="false">40000+40000+30000</f>
        <v>110000</v>
      </c>
      <c r="F10" s="16" t="s">
        <v>102</v>
      </c>
      <c r="G10" s="13" t="s">
        <v>103</v>
      </c>
    </row>
    <row r="12" customFormat="false" ht="15" hidden="false" customHeight="false" outlineLevel="0" collapsed="false">
      <c r="A12" s="17" t="s">
        <v>104</v>
      </c>
      <c r="B12" s="17"/>
      <c r="C12" s="17"/>
      <c r="D12" s="17"/>
      <c r="E12" s="17"/>
      <c r="F12" s="18" t="n">
        <f aca="false">60000+70000+30000</f>
        <v>160000</v>
      </c>
      <c r="G12" s="10"/>
    </row>
    <row r="15" customFormat="false" ht="15" hidden="false" customHeight="true" outlineLevel="0" collapsed="false">
      <c r="A15" s="19" t="s">
        <v>105</v>
      </c>
      <c r="B15" s="19"/>
      <c r="C15" s="19"/>
      <c r="D15" s="19"/>
      <c r="E15" s="19"/>
      <c r="F15" s="19"/>
      <c r="G15" s="19"/>
    </row>
    <row r="16" customFormat="false" ht="15" hidden="false" customHeight="true" outlineLevel="0" collapsed="false">
      <c r="A16" s="20" t="s">
        <v>106</v>
      </c>
      <c r="B16" s="20" t="s">
        <v>107</v>
      </c>
      <c r="C16" s="20" t="s">
        <v>108</v>
      </c>
      <c r="D16" s="20" t="s">
        <v>109</v>
      </c>
      <c r="E16" s="20" t="s">
        <v>110</v>
      </c>
      <c r="F16" s="20"/>
      <c r="G16" s="20"/>
    </row>
    <row r="17" customFormat="false" ht="15" hidden="false" customHeight="true" outlineLevel="0" collapsed="false">
      <c r="A17" s="6" t="s">
        <v>111</v>
      </c>
      <c r="B17" s="7" t="s">
        <v>69</v>
      </c>
      <c r="C17" s="6" t="s">
        <v>112</v>
      </c>
      <c r="D17" s="8" t="s">
        <v>113</v>
      </c>
      <c r="E17" s="6" t="s">
        <v>114</v>
      </c>
      <c r="F17" s="6"/>
      <c r="G17" s="6"/>
    </row>
    <row r="18" customFormat="false" ht="15" hidden="false" customHeight="true" outlineLevel="0" collapsed="false">
      <c r="A18" s="6" t="s">
        <v>115</v>
      </c>
      <c r="B18" s="7" t="s">
        <v>70</v>
      </c>
      <c r="C18" s="6" t="s">
        <v>116</v>
      </c>
      <c r="D18" s="8" t="s">
        <v>117</v>
      </c>
      <c r="E18" s="6" t="s">
        <v>118</v>
      </c>
      <c r="F18" s="6"/>
      <c r="G18" s="6"/>
    </row>
    <row r="19" customFormat="false" ht="15" hidden="false" customHeight="true" outlineLevel="0" collapsed="false">
      <c r="A19" s="6" t="s">
        <v>119</v>
      </c>
      <c r="B19" s="7" t="s">
        <v>71</v>
      </c>
      <c r="C19" s="6" t="s">
        <v>120</v>
      </c>
      <c r="D19" s="8" t="s">
        <v>121</v>
      </c>
      <c r="E19" s="6" t="s">
        <v>122</v>
      </c>
      <c r="F19" s="6"/>
      <c r="G19" s="6"/>
    </row>
    <row r="20" customFormat="false" ht="15" hidden="false" customHeight="true" outlineLevel="0" collapsed="false">
      <c r="A20" s="6" t="s">
        <v>123</v>
      </c>
      <c r="B20" s="7" t="s">
        <v>69</v>
      </c>
      <c r="C20" s="6" t="s">
        <v>124</v>
      </c>
      <c r="D20" s="8" t="s">
        <v>125</v>
      </c>
      <c r="E20" s="6" t="s">
        <v>126</v>
      </c>
      <c r="F20" s="6"/>
      <c r="G20" s="6"/>
    </row>
    <row r="21" customFormat="false" ht="15" hidden="false" customHeight="true" outlineLevel="0" collapsed="false">
      <c r="A21" s="6" t="s">
        <v>127</v>
      </c>
      <c r="B21" s="7" t="s">
        <v>70</v>
      </c>
      <c r="C21" s="6" t="s">
        <v>128</v>
      </c>
      <c r="D21" s="8" t="s">
        <v>129</v>
      </c>
      <c r="E21" s="6" t="s">
        <v>130</v>
      </c>
      <c r="F21" s="6"/>
      <c r="G21" s="6"/>
    </row>
    <row r="22" customFormat="false" ht="15" hidden="false" customHeight="true" outlineLevel="0" collapsed="false">
      <c r="A22" s="6" t="s">
        <v>131</v>
      </c>
      <c r="B22" s="7" t="s">
        <v>71</v>
      </c>
      <c r="C22" s="6" t="s">
        <v>132</v>
      </c>
      <c r="D22" s="8" t="s">
        <v>133</v>
      </c>
      <c r="E22" s="6" t="s">
        <v>134</v>
      </c>
      <c r="F22" s="6"/>
      <c r="G22" s="6"/>
    </row>
    <row r="26" customFormat="false" ht="15" hidden="false" customHeight="true" outlineLevel="0" collapsed="false">
      <c r="A26" s="21" t="s">
        <v>135</v>
      </c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6" t="s">
        <v>136</v>
      </c>
      <c r="B27" s="7" t="s">
        <v>137</v>
      </c>
      <c r="C27" s="22" t="s">
        <v>138</v>
      </c>
      <c r="D27" s="6" t="s">
        <v>139</v>
      </c>
    </row>
    <row r="28" customFormat="false" ht="22.35" hidden="false" customHeight="false" outlineLevel="0" collapsed="false">
      <c r="A28" s="6" t="s">
        <v>140</v>
      </c>
      <c r="B28" s="7" t="s">
        <v>141</v>
      </c>
      <c r="C28" s="8" t="s">
        <v>90</v>
      </c>
      <c r="D28" s="6" t="s">
        <v>142</v>
      </c>
    </row>
    <row r="29" customFormat="false" ht="15" hidden="false" customHeight="false" outlineLevel="0" collapsed="false">
      <c r="A29" s="6" t="s">
        <v>143</v>
      </c>
      <c r="B29" s="7" t="s">
        <v>144</v>
      </c>
      <c r="C29" s="8" t="s">
        <v>96</v>
      </c>
      <c r="D29" s="6" t="s">
        <v>145</v>
      </c>
    </row>
    <row r="30" customFormat="false" ht="22.35" hidden="false" customHeight="false" outlineLevel="0" collapsed="false">
      <c r="A30" s="6" t="s">
        <v>146</v>
      </c>
      <c r="B30" s="7" t="s">
        <v>147</v>
      </c>
      <c r="C30" s="8" t="s">
        <v>102</v>
      </c>
      <c r="D30" s="6" t="s">
        <v>148</v>
      </c>
    </row>
    <row r="31" customFormat="false" ht="22.35" hidden="false" customHeight="false" outlineLevel="0" collapsed="false">
      <c r="A31" s="6" t="s">
        <v>149</v>
      </c>
      <c r="B31" s="7" t="s">
        <v>150</v>
      </c>
      <c r="C31" s="8" t="s">
        <v>151</v>
      </c>
      <c r="D31" s="6" t="s">
        <v>152</v>
      </c>
    </row>
    <row r="32" customFormat="false" ht="15" hidden="false" customHeight="false" outlineLevel="0" collapsed="false">
      <c r="A32" s="6"/>
      <c r="B32" s="7"/>
      <c r="C32" s="22"/>
      <c r="D32" s="6"/>
    </row>
    <row r="33" customFormat="false" ht="22.35" hidden="false" customHeight="false" outlineLevel="0" collapsed="false">
      <c r="A33" s="23" t="s">
        <v>153</v>
      </c>
      <c r="B33" s="7"/>
      <c r="C33" s="8" t="s">
        <v>154</v>
      </c>
      <c r="D33" s="6" t="s">
        <v>155</v>
      </c>
    </row>
  </sheetData>
  <mergeCells count="13">
    <mergeCell ref="A1:G1"/>
    <mergeCell ref="A2:G2"/>
    <mergeCell ref="A4:G4"/>
    <mergeCell ref="A12:E12"/>
    <mergeCell ref="A15:G15"/>
    <mergeCell ref="E16:G16"/>
    <mergeCell ref="E17:G17"/>
    <mergeCell ref="E18:G18"/>
    <mergeCell ref="E19:G19"/>
    <mergeCell ref="E20:G20"/>
    <mergeCell ref="E21:G21"/>
    <mergeCell ref="E22:G22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6"/>
    <col collapsed="false" customWidth="true" hidden="false" outlineLevel="0" max="6" min="6" style="1" width="12"/>
  </cols>
  <sheetData>
    <row r="1" customFormat="false" ht="24.75" hidden="false" customHeight="true" outlineLevel="0" collapsed="false">
      <c r="A1" s="24" t="s">
        <v>156</v>
      </c>
      <c r="B1" s="24"/>
      <c r="C1" s="24"/>
      <c r="D1" s="24"/>
      <c r="E1" s="24"/>
      <c r="F1" s="24"/>
    </row>
    <row r="3" customFormat="false" ht="30" hidden="false" customHeight="true" outlineLevel="0" collapsed="false">
      <c r="A3" s="4" t="s">
        <v>157</v>
      </c>
      <c r="B3" s="4" t="s">
        <v>158</v>
      </c>
      <c r="C3" s="4" t="s">
        <v>159</v>
      </c>
      <c r="D3" s="4" t="s">
        <v>160</v>
      </c>
      <c r="E3" s="4" t="s">
        <v>161</v>
      </c>
      <c r="F3" s="4" t="s">
        <v>162</v>
      </c>
    </row>
    <row r="4" customFormat="false" ht="15" hidden="false" customHeight="false" outlineLevel="0" collapsed="false">
      <c r="A4" s="6" t="s">
        <v>163</v>
      </c>
      <c r="B4" s="8" t="n">
        <v>265000</v>
      </c>
      <c r="C4" s="8" t="n">
        <v>60000</v>
      </c>
      <c r="D4" s="8" t="n">
        <v>9000</v>
      </c>
      <c r="E4" s="8" t="n">
        <f aca="false">B5+C5+D5</f>
        <v>268500</v>
      </c>
      <c r="F4" s="25" t="e">
        <f aca="false">E5/E18*100</f>
        <v>#VALUE!</v>
      </c>
    </row>
    <row r="5" customFormat="false" ht="15" hidden="false" customHeight="false" outlineLevel="0" collapsed="false">
      <c r="A5" s="6" t="s">
        <v>164</v>
      </c>
      <c r="B5" s="8" t="n">
        <v>210000</v>
      </c>
      <c r="C5" s="8" t="n">
        <v>49500</v>
      </c>
      <c r="D5" s="8" t="n">
        <v>9000</v>
      </c>
      <c r="E5" s="8" t="n">
        <f aca="false">B6+C6+D6</f>
        <v>557000</v>
      </c>
      <c r="F5" s="25" t="e">
        <f aca="false">E6/E18*100</f>
        <v>#VALUE!</v>
      </c>
    </row>
    <row r="6" customFormat="false" ht="15" hidden="false" customHeight="false" outlineLevel="0" collapsed="false">
      <c r="A6" s="6" t="s">
        <v>165</v>
      </c>
      <c r="B6" s="8" t="n">
        <v>73000</v>
      </c>
      <c r="C6" s="8" t="n">
        <v>482000</v>
      </c>
      <c r="D6" s="8" t="n">
        <v>2000</v>
      </c>
      <c r="E6" s="8" t="n">
        <f aca="false">B7+C7+D7</f>
        <v>110500</v>
      </c>
      <c r="F6" s="25" t="e">
        <f aca="false">E7/E18*100</f>
        <v>#VALUE!</v>
      </c>
    </row>
    <row r="7" customFormat="false" ht="15" hidden="false" customHeight="false" outlineLevel="0" collapsed="false">
      <c r="A7" s="6" t="s">
        <v>166</v>
      </c>
      <c r="B7" s="8" t="n">
        <v>87000</v>
      </c>
      <c r="C7" s="8" t="n">
        <v>19000</v>
      </c>
      <c r="D7" s="8" t="n">
        <v>4500</v>
      </c>
      <c r="E7" s="8" t="n">
        <f aca="false">B8+C8+D8</f>
        <v>14500</v>
      </c>
      <c r="F7" s="25" t="e">
        <f aca="false">E8/E18*100</f>
        <v>#VALUE!</v>
      </c>
    </row>
    <row r="8" customFormat="false" ht="15" hidden="false" customHeight="false" outlineLevel="0" collapsed="false">
      <c r="A8" s="6" t="s">
        <v>167</v>
      </c>
      <c r="B8" s="8" t="n">
        <v>0</v>
      </c>
      <c r="C8" s="8" t="n">
        <v>14500</v>
      </c>
      <c r="D8" s="8" t="n">
        <v>0</v>
      </c>
      <c r="E8" s="8" t="n">
        <f aca="false">B9+C9+D9</f>
        <v>170000</v>
      </c>
      <c r="F8" s="25" t="e">
        <f aca="false">E9/E18*100</f>
        <v>#VALUE!</v>
      </c>
    </row>
    <row r="9" customFormat="false" ht="15" hidden="false" customHeight="false" outlineLevel="0" collapsed="false">
      <c r="A9" s="6" t="s">
        <v>168</v>
      </c>
      <c r="B9" s="8" t="n">
        <v>170000</v>
      </c>
      <c r="C9" s="8" t="n">
        <v>0</v>
      </c>
      <c r="D9" s="8" t="n">
        <v>0</v>
      </c>
      <c r="E9" s="8" t="n">
        <f aca="false">B10+C10+D10</f>
        <v>9500</v>
      </c>
      <c r="F9" s="25" t="e">
        <f aca="false">E10/E18*100</f>
        <v>#VALUE!</v>
      </c>
    </row>
    <row r="10" customFormat="false" ht="15" hidden="false" customHeight="false" outlineLevel="0" collapsed="false">
      <c r="A10" s="6" t="s">
        <v>169</v>
      </c>
      <c r="B10" s="8" t="n">
        <v>0</v>
      </c>
      <c r="C10" s="8" t="n">
        <v>0</v>
      </c>
      <c r="D10" s="8" t="n">
        <v>9500</v>
      </c>
      <c r="E10" s="8" t="n">
        <f aca="false">B11+C11+D11</f>
        <v>92000</v>
      </c>
      <c r="F10" s="25" t="e">
        <f aca="false">E11/E18*100</f>
        <v>#VALUE!</v>
      </c>
    </row>
    <row r="11" customFormat="false" ht="15" hidden="false" customHeight="false" outlineLevel="0" collapsed="false">
      <c r="A11" s="6" t="s">
        <v>170</v>
      </c>
      <c r="B11" s="8" t="n">
        <v>0</v>
      </c>
      <c r="C11" s="8" t="n">
        <v>40000</v>
      </c>
      <c r="D11" s="8" t="n">
        <v>52000</v>
      </c>
      <c r="E11" s="8" t="n">
        <f aca="false">B12+C12+D12</f>
        <v>45000</v>
      </c>
      <c r="F11" s="25" t="e">
        <f aca="false">E12/E18*100</f>
        <v>#VALUE!</v>
      </c>
    </row>
    <row r="12" customFormat="false" ht="15" hidden="false" customHeight="false" outlineLevel="0" collapsed="false">
      <c r="A12" s="6" t="s">
        <v>171</v>
      </c>
      <c r="B12" s="8" t="n">
        <v>0</v>
      </c>
      <c r="C12" s="8" t="n">
        <v>0</v>
      </c>
      <c r="D12" s="8" t="n">
        <v>45000</v>
      </c>
      <c r="E12" s="8" t="n">
        <f aca="false">B13+C13+D13</f>
        <v>260000</v>
      </c>
      <c r="F12" s="25" t="e">
        <f aca="false">E13/E18*100</f>
        <v>#VALUE!</v>
      </c>
    </row>
    <row r="13" customFormat="false" ht="15" hidden="false" customHeight="false" outlineLevel="0" collapsed="false">
      <c r="A13" s="6" t="s">
        <v>172</v>
      </c>
      <c r="B13" s="8" t="n">
        <v>0</v>
      </c>
      <c r="C13" s="8" t="n">
        <v>120000</v>
      </c>
      <c r="D13" s="8" t="n">
        <v>140000</v>
      </c>
      <c r="E13" s="8" t="n">
        <f aca="false">B14+C14+D14</f>
        <v>105000</v>
      </c>
      <c r="F13" s="25" t="e">
        <f aca="false">E14/E18*100</f>
        <v>#VALUE!</v>
      </c>
    </row>
    <row r="14" customFormat="false" ht="15" hidden="false" customHeight="false" outlineLevel="0" collapsed="false">
      <c r="A14" s="6" t="s">
        <v>173</v>
      </c>
      <c r="B14" s="8" t="n">
        <v>105000</v>
      </c>
      <c r="C14" s="8" t="n">
        <v>0</v>
      </c>
      <c r="D14" s="8" t="n">
        <v>0</v>
      </c>
      <c r="E14" s="8" t="n">
        <f aca="false">B15+C15+D15</f>
        <v>0</v>
      </c>
      <c r="F14" s="25" t="e">
        <f aca="false">E15/E18*100</f>
        <v>#VALUE!</v>
      </c>
    </row>
    <row r="15" customFormat="false" ht="15" hidden="false" customHeight="false" outlineLevel="0" collapsed="false">
      <c r="A15" s="6"/>
      <c r="B15" s="22"/>
      <c r="C15" s="22"/>
      <c r="D15" s="22"/>
      <c r="E15" s="22"/>
      <c r="F15" s="7"/>
    </row>
    <row r="16" customFormat="false" ht="15" hidden="false" customHeight="false" outlineLevel="0" collapsed="false">
      <c r="A16" s="26" t="s">
        <v>174</v>
      </c>
      <c r="B16" s="27" t="n">
        <v>910000</v>
      </c>
      <c r="C16" s="27" t="n">
        <v>375000</v>
      </c>
      <c r="D16" s="27" t="n">
        <v>271000</v>
      </c>
      <c r="E16" s="27" t="n">
        <f aca="false">B17+C17+D17</f>
        <v>350000</v>
      </c>
      <c r="F16" s="28" t="s">
        <v>175</v>
      </c>
    </row>
    <row r="17" customFormat="false" ht="15" hidden="false" customHeight="false" outlineLevel="0" collapsed="false">
      <c r="A17" s="6" t="s">
        <v>176</v>
      </c>
      <c r="B17" s="8" t="n">
        <v>0</v>
      </c>
      <c r="C17" s="8" t="n">
        <v>350000</v>
      </c>
      <c r="D17" s="8" t="n">
        <v>0</v>
      </c>
      <c r="E17" s="8" t="e">
        <f aca="false">E17+C18</f>
        <v>#VALUE!</v>
      </c>
      <c r="F17" s="7"/>
    </row>
    <row r="18" customFormat="false" ht="15" hidden="false" customHeight="false" outlineLevel="0" collapsed="false">
      <c r="A18" s="6" t="s">
        <v>177</v>
      </c>
      <c r="B18" s="8" t="n">
        <v>0</v>
      </c>
      <c r="C18" s="8" t="n">
        <v>60000</v>
      </c>
      <c r="D18" s="8" t="n">
        <v>0</v>
      </c>
      <c r="E18" s="8" t="e">
        <f aca="false">E18+C19</f>
        <v>#VALUE!</v>
      </c>
      <c r="F18" s="7"/>
    </row>
    <row r="19" customFormat="false" ht="15" hidden="false" customHeight="false" outlineLevel="0" collapsed="false">
      <c r="A19" s="6"/>
      <c r="B19" s="22"/>
      <c r="C19" s="22"/>
      <c r="D19" s="22"/>
      <c r="E19" s="22"/>
      <c r="F19" s="7"/>
    </row>
    <row r="20" customFormat="false" ht="15" hidden="false" customHeight="false" outlineLevel="0" collapsed="false">
      <c r="A20" s="26" t="s">
        <v>178</v>
      </c>
      <c r="B20" s="27" t="n">
        <v>910000</v>
      </c>
      <c r="C20" s="27" t="n">
        <v>725000</v>
      </c>
      <c r="D20" s="27" t="n">
        <v>271000</v>
      </c>
      <c r="E20" s="27" t="n">
        <f aca="false">B21+C21+D21</f>
        <v>0</v>
      </c>
      <c r="F20" s="28" t="s">
        <v>175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2026-02-19T17:27:33Z</dcterms:created>
  <dc:creator>openpyxl</dc:creator>
  <dc:description/>
  <dc:language>en-NG</dc:language>
  <cp:lastModifiedBy/>
  <dcterms:modified xsi:type="dcterms:W3CDTF">2026-02-19T18:48:04Z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